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地價類\地價評議委員會\臺南市辦理徵收補償市價查估用影響各行政區地價區域及個別因素評價基準明細表(104年二版)\東南所(104年二版)\106年3月修正\南區徵收用10603\"/>
    </mc:Choice>
  </mc:AlternateContent>
  <bookViews>
    <workbookView xWindow="0" yWindow="0" windowWidth="19200" windowHeight="7110"/>
  </bookViews>
  <sheets>
    <sheet name="臺南市南區影響其他用地地價個別因素評價基準明細表(徵收用)" sheetId="1" r:id="rId1"/>
  </sheets>
  <definedNames>
    <definedName name="_xlnm.Print_Area" localSheetId="0">'臺南市南區影響其他用地地價個別因素評價基準明細表(徵收用)'!$A$1:$I$151</definedName>
    <definedName name="_xlnm.Print_Titles" localSheetId="0">'臺南市南區影響其他用地地價個別因素評價基準明細表(徵收用)'!$1:$2</definedName>
  </definedNames>
  <calcPr calcId="162913"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1" l="1"/>
  <c r="F5" i="1"/>
  <c r="F6" i="1" s="1"/>
  <c r="D6" i="1"/>
  <c r="D7" i="1" s="1"/>
  <c r="E6" i="1"/>
  <c r="E7" i="1" s="1"/>
  <c r="F7" i="1"/>
  <c r="E12" i="1"/>
  <c r="F12" i="1"/>
  <c r="F13" i="1" s="1"/>
  <c r="D13" i="1"/>
  <c r="D14" i="1" s="1"/>
  <c r="E13" i="1"/>
  <c r="E14" i="1" s="1"/>
  <c r="F14" i="1"/>
  <c r="E19" i="1"/>
  <c r="F19" i="1"/>
  <c r="F20" i="1" s="1"/>
  <c r="D20" i="1"/>
  <c r="D21" i="1" s="1"/>
  <c r="E20" i="1"/>
  <c r="E21" i="1" s="1"/>
  <c r="F21" i="1"/>
  <c r="E26" i="1"/>
  <c r="D27" i="1"/>
  <c r="E27" i="1"/>
  <c r="E33" i="1"/>
  <c r="F33" i="1" s="1"/>
  <c r="D34" i="1"/>
  <c r="D35" i="1" s="1"/>
  <c r="D36" i="1" s="1"/>
  <c r="D37" i="1" s="1"/>
  <c r="E34" i="1"/>
  <c r="E35" i="1"/>
  <c r="F35" i="1"/>
  <c r="E36" i="1"/>
  <c r="F36" i="1"/>
  <c r="F37" i="1" s="1"/>
  <c r="G36" i="1"/>
  <c r="E37" i="1"/>
  <c r="G37" i="1"/>
  <c r="H37" i="1"/>
  <c r="E40" i="1"/>
  <c r="D41" i="1"/>
  <c r="E41" i="1"/>
  <c r="E47" i="1"/>
  <c r="F47" i="1"/>
  <c r="G47" i="1" s="1"/>
  <c r="H47" i="1" s="1"/>
  <c r="D48" i="1"/>
  <c r="E48" i="1"/>
  <c r="D49" i="1"/>
  <c r="D50" i="1" s="1"/>
  <c r="D51" i="1" s="1"/>
  <c r="F49" i="1"/>
  <c r="G49" i="1"/>
  <c r="H49" i="1"/>
  <c r="F50" i="1"/>
  <c r="F51" i="1" s="1"/>
  <c r="G50" i="1"/>
  <c r="H51" i="1"/>
  <c r="E54" i="1"/>
  <c r="F54" i="1" s="1"/>
  <c r="D55" i="1"/>
  <c r="D56" i="1" s="1"/>
  <c r="D57" i="1" s="1"/>
  <c r="D58" i="1" s="1"/>
  <c r="E55" i="1"/>
  <c r="E56" i="1" s="1"/>
  <c r="E57" i="1" s="1"/>
  <c r="F56" i="1"/>
  <c r="F57" i="1"/>
  <c r="G57" i="1"/>
  <c r="G58" i="1" s="1"/>
  <c r="E58" i="1"/>
  <c r="F58" i="1"/>
  <c r="H58" i="1"/>
  <c r="E61" i="1"/>
  <c r="F61" i="1"/>
  <c r="D62" i="1"/>
  <c r="E62" i="1"/>
  <c r="E63" i="1" s="1"/>
  <c r="F62" i="1"/>
  <c r="D63" i="1"/>
  <c r="F63" i="1"/>
  <c r="E68" i="1"/>
  <c r="F68" i="1"/>
  <c r="D69" i="1"/>
  <c r="E69" i="1"/>
  <c r="E70" i="1" s="1"/>
  <c r="F69" i="1"/>
  <c r="D70" i="1"/>
  <c r="F70" i="1"/>
  <c r="E75" i="1"/>
  <c r="F75" i="1" s="1"/>
  <c r="D76" i="1"/>
  <c r="E76" i="1"/>
  <c r="E77" i="1" s="1"/>
  <c r="F76" i="1"/>
  <c r="D77" i="1"/>
  <c r="F77" i="1"/>
  <c r="E82" i="1"/>
  <c r="F82" i="1"/>
  <c r="D83" i="1"/>
  <c r="E83" i="1"/>
  <c r="E84" i="1" s="1"/>
  <c r="F83" i="1"/>
  <c r="D84" i="1"/>
  <c r="F84" i="1"/>
  <c r="E89" i="1"/>
  <c r="F89" i="1"/>
  <c r="D90" i="1"/>
  <c r="E90" i="1"/>
  <c r="E91" i="1" s="1"/>
  <c r="F90" i="1"/>
  <c r="D91" i="1"/>
  <c r="F91" i="1"/>
  <c r="E96" i="1"/>
  <c r="F96" i="1"/>
  <c r="D97" i="1"/>
  <c r="D98" i="1" s="1"/>
  <c r="D99" i="1" s="1"/>
  <c r="D100" i="1" s="1"/>
  <c r="E97" i="1"/>
  <c r="E98" i="1" s="1"/>
  <c r="E99" i="1" s="1"/>
  <c r="F98" i="1"/>
  <c r="F99" i="1"/>
  <c r="F100" i="1" s="1"/>
  <c r="G99" i="1"/>
  <c r="G100" i="1" s="1"/>
  <c r="E100" i="1"/>
  <c r="H100" i="1"/>
  <c r="E103" i="1"/>
  <c r="D104" i="1"/>
  <c r="E104" i="1"/>
  <c r="E110" i="1"/>
  <c r="F110" i="1"/>
  <c r="F111" i="1" s="1"/>
  <c r="D111" i="1"/>
  <c r="D112" i="1" s="1"/>
  <c r="E111" i="1"/>
  <c r="E112" i="1"/>
  <c r="F112" i="1"/>
  <c r="E117" i="1"/>
  <c r="F117" i="1"/>
  <c r="G117" i="1"/>
  <c r="D118" i="1"/>
  <c r="E118" i="1"/>
  <c r="F118" i="1"/>
  <c r="D119" i="1"/>
  <c r="E119" i="1"/>
  <c r="E120" i="1" s="1"/>
  <c r="E121" i="1" s="1"/>
  <c r="F119" i="1"/>
  <c r="D120" i="1"/>
  <c r="D121" i="1" s="1"/>
  <c r="F120" i="1"/>
  <c r="G120" i="1"/>
  <c r="F121" i="1"/>
  <c r="G121" i="1"/>
  <c r="H121" i="1"/>
  <c r="E124" i="1"/>
  <c r="F124" i="1"/>
  <c r="G124" i="1"/>
  <c r="D125" i="1"/>
  <c r="E125" i="1"/>
  <c r="E126" i="1" s="1"/>
  <c r="E127" i="1" s="1"/>
  <c r="E128" i="1" s="1"/>
  <c r="F125" i="1"/>
  <c r="D126" i="1"/>
  <c r="F126" i="1"/>
  <c r="D127" i="1"/>
  <c r="D128" i="1" s="1"/>
  <c r="F127" i="1"/>
  <c r="G127" i="1"/>
  <c r="G128" i="1" s="1"/>
  <c r="F128" i="1"/>
  <c r="H128" i="1"/>
  <c r="E131" i="1"/>
  <c r="F131" i="1"/>
  <c r="G131" i="1" s="1"/>
  <c r="D132" i="1"/>
  <c r="E132" i="1"/>
  <c r="E133" i="1" s="1"/>
  <c r="E134" i="1" s="1"/>
  <c r="E135" i="1" s="1"/>
  <c r="F132" i="1"/>
  <c r="D133" i="1"/>
  <c r="F133" i="1"/>
  <c r="D134" i="1"/>
  <c r="D135" i="1" s="1"/>
  <c r="F134" i="1"/>
  <c r="G134" i="1"/>
  <c r="G135" i="1" s="1"/>
  <c r="F135" i="1"/>
  <c r="H135" i="1"/>
  <c r="E138" i="1"/>
  <c r="F138" i="1"/>
  <c r="G138" i="1"/>
  <c r="D139" i="1"/>
  <c r="E139" i="1"/>
  <c r="E140" i="1" s="1"/>
  <c r="E141" i="1" s="1"/>
  <c r="E142" i="1" s="1"/>
  <c r="F139" i="1"/>
  <c r="D140" i="1"/>
  <c r="F140" i="1"/>
  <c r="D141" i="1"/>
  <c r="D142" i="1" s="1"/>
  <c r="F141" i="1"/>
  <c r="G141" i="1"/>
  <c r="H141" i="1" s="1"/>
  <c r="F142" i="1"/>
  <c r="H142" i="1"/>
  <c r="G54" i="1" l="1"/>
  <c r="F55" i="1"/>
  <c r="H131" i="1"/>
  <c r="H132" i="1" s="1"/>
  <c r="H133" i="1" s="1"/>
  <c r="H134" i="1" s="1"/>
  <c r="G132" i="1"/>
  <c r="G133" i="1" s="1"/>
  <c r="H124" i="1"/>
  <c r="H125" i="1" s="1"/>
  <c r="H126" i="1" s="1"/>
  <c r="H127" i="1" s="1"/>
  <c r="G125" i="1"/>
  <c r="G126" i="1" s="1"/>
  <c r="H50" i="1"/>
  <c r="G51" i="1"/>
  <c r="G142" i="1"/>
  <c r="H117" i="1"/>
  <c r="H118" i="1" s="1"/>
  <c r="H119" i="1" s="1"/>
  <c r="H120" i="1" s="1"/>
  <c r="G118" i="1"/>
  <c r="G119" i="1" s="1"/>
  <c r="G33" i="1"/>
  <c r="F34" i="1"/>
  <c r="H138" i="1"/>
  <c r="G139" i="1"/>
  <c r="G96" i="1"/>
  <c r="F97" i="1"/>
  <c r="F48" i="1"/>
  <c r="G48" i="1" s="1"/>
  <c r="H48" i="1" s="1"/>
  <c r="E49" i="1"/>
  <c r="E50" i="1" s="1"/>
  <c r="E51" i="1" s="1"/>
  <c r="H96" i="1" l="1"/>
  <c r="H97" i="1" s="1"/>
  <c r="H98" i="1" s="1"/>
  <c r="H99" i="1" s="1"/>
  <c r="G97" i="1"/>
  <c r="G98" i="1" s="1"/>
  <c r="H33" i="1"/>
  <c r="H34" i="1" s="1"/>
  <c r="H35" i="1" s="1"/>
  <c r="H36" i="1" s="1"/>
  <c r="G34" i="1"/>
  <c r="G35" i="1" s="1"/>
  <c r="H139" i="1"/>
  <c r="G140" i="1"/>
  <c r="H140" i="1" s="1"/>
  <c r="H54" i="1"/>
  <c r="H55" i="1" s="1"/>
  <c r="H56" i="1" s="1"/>
  <c r="H57" i="1" s="1"/>
  <c r="G55" i="1"/>
  <c r="G56" i="1" s="1"/>
</calcChain>
</file>

<file path=xl/sharedStrings.xml><?xml version="1.0" encoding="utf-8"?>
<sst xmlns="http://schemas.openxmlformats.org/spreadsheetml/2006/main" count="368" uniqueCount="155">
  <si>
    <t>八、依本基準明細表查定之市價，並未考量相關費用負擔(如廢棄物清理費用、污染防治費用等)，如有廢棄物污染、土壤及
    地下水污染、水污染、空氣污染等環境汙染情形，應回歸相關法規辦理。</t>
    <phoneticPr fontId="2" type="noConversion"/>
  </si>
  <si>
    <t>七、如有無法歸屬表列項目之特殊情形需調整者，得於「其他」項下適度調整。</t>
  </si>
  <si>
    <t>六、容積率指法定容積率。</t>
  </si>
  <si>
    <t>五、宗地如屬不規則形，寬度、深度得不予考量。</t>
  </si>
  <si>
    <t>四、公共設施保留地、都市計畫農業區、保護區之零星建築用地，或依規定應整體開發而未開發之零星已建築用地，經劃屬
    公共設施保留地，其市價之計算依土地徵收條例施行細則相關規定辦理。</t>
    <phoneticPr fontId="2" type="noConversion"/>
  </si>
  <si>
    <t>三、最大影響範圍(%)為「-」者，該項不予考慮調整。</t>
    <phoneticPr fontId="2" type="noConversion"/>
  </si>
  <si>
    <t>二、如特殊狀況之個案，得敘明理由以不大於本基準明細表價格修正率進行調整或免予考慮部分細項。</t>
    <phoneticPr fontId="2" type="noConversion"/>
  </si>
  <si>
    <t>一、其他用地指非得歸屬住宅、商業、工業及農業使用之用地，如水利用地、交通用地等。</t>
    <phoneticPr fontId="2" type="noConversion"/>
  </si>
  <si>
    <t>說明：</t>
  </si>
  <si>
    <t>劣</t>
  </si>
  <si>
    <t>稍劣</t>
  </si>
  <si>
    <t>普通</t>
  </si>
  <si>
    <t>稍優</t>
  </si>
  <si>
    <t>優</t>
  </si>
  <si>
    <t>宗地</t>
    <phoneticPr fontId="2" type="noConversion"/>
  </si>
  <si>
    <t>依比準地與宗地之其他影響地價因素差異程度來衡量</t>
  </si>
  <si>
    <t>比準地</t>
    <phoneticPr fontId="2" type="noConversion"/>
  </si>
  <si>
    <t>其他</t>
  </si>
  <si>
    <t>劣：禁止建築</t>
  </si>
  <si>
    <t>建</t>
    <phoneticPr fontId="2" type="noConversion"/>
  </si>
  <si>
    <t>稍劣：限制整體開發</t>
  </si>
  <si>
    <t>限</t>
    <phoneticPr fontId="2" type="noConversion"/>
  </si>
  <si>
    <t>普通：限制建築高度及面積</t>
  </si>
  <si>
    <t>禁</t>
    <phoneticPr fontId="2" type="noConversion"/>
  </si>
  <si>
    <t>稍優：限制建築高度或面積</t>
    <phoneticPr fontId="2" type="noConversion"/>
  </si>
  <si>
    <t>無</t>
    <phoneticPr fontId="2" type="noConversion"/>
  </si>
  <si>
    <t>優：無禁止或限制建築</t>
  </si>
  <si>
    <t>有</t>
    <phoneticPr fontId="2" type="noConversion"/>
  </si>
  <si>
    <t>行政條件</t>
  </si>
  <si>
    <t>劣：容積率≦120％。</t>
    <phoneticPr fontId="2" type="noConversion"/>
  </si>
  <si>
    <t>稍劣：120％＜容積率≦160％。</t>
    <phoneticPr fontId="2" type="noConversion"/>
  </si>
  <si>
    <t>普通：160％＜容積率≦200％。</t>
    <phoneticPr fontId="2" type="noConversion"/>
  </si>
  <si>
    <t>率</t>
    <phoneticPr fontId="2" type="noConversion"/>
  </si>
  <si>
    <t>稍優：200％＜容積率≦240％。</t>
    <phoneticPr fontId="2" type="noConversion"/>
  </si>
  <si>
    <t>積</t>
    <phoneticPr fontId="2" type="noConversion"/>
  </si>
  <si>
    <t>優：240％＜容積率。</t>
    <phoneticPr fontId="2" type="noConversion"/>
  </si>
  <si>
    <t>優</t>
    <phoneticPr fontId="2" type="noConversion"/>
  </si>
  <si>
    <t>容</t>
    <phoneticPr fontId="2" type="noConversion"/>
  </si>
  <si>
    <t>劣：建蔽率≦10％。</t>
    <phoneticPr fontId="2" type="noConversion"/>
  </si>
  <si>
    <t>稍劣：10％＜建蔽率≦30％。</t>
    <phoneticPr fontId="2" type="noConversion"/>
  </si>
  <si>
    <t>普通：30％＜建蔽率≦45％。</t>
    <phoneticPr fontId="2" type="noConversion"/>
  </si>
  <si>
    <t>稍優：45％＜建蔽率≦60％。</t>
    <phoneticPr fontId="2" type="noConversion"/>
  </si>
  <si>
    <t>蔽</t>
    <phoneticPr fontId="2" type="noConversion"/>
  </si>
  <si>
    <t>優：60％＜建蔽率。</t>
  </si>
  <si>
    <t>劣</t>
    <phoneticPr fontId="2" type="noConversion"/>
  </si>
  <si>
    <t>用地</t>
    <phoneticPr fontId="2" type="noConversion"/>
  </si>
  <si>
    <t>普通</t>
    <phoneticPr fontId="2" type="noConversion"/>
  </si>
  <si>
    <t>編定</t>
    <phoneticPr fontId="2" type="noConversion"/>
  </si>
  <si>
    <t>劣：禁止建築用地</t>
    <phoneticPr fontId="2" type="noConversion"/>
  </si>
  <si>
    <t>或</t>
    <phoneticPr fontId="2" type="noConversion"/>
  </si>
  <si>
    <t>普通：其他可供建築之各項用地</t>
    <phoneticPr fontId="2" type="noConversion"/>
  </si>
  <si>
    <t>分區</t>
    <phoneticPr fontId="2" type="noConversion"/>
  </si>
  <si>
    <t>優：住宅區、商業區及工業區用地</t>
    <phoneticPr fontId="2" type="noConversion"/>
  </si>
  <si>
    <t>使用</t>
    <phoneticPr fontId="2" type="noConversion"/>
  </si>
  <si>
    <t>行政條件</t>
    <phoneticPr fontId="2" type="noConversion"/>
  </si>
  <si>
    <t>性</t>
    <phoneticPr fontId="2" type="noConversion"/>
  </si>
  <si>
    <t>便</t>
    <phoneticPr fontId="2" type="noConversion"/>
  </si>
  <si>
    <t>劣：不便</t>
    <phoneticPr fontId="2" type="noConversion"/>
  </si>
  <si>
    <t>方</t>
    <phoneticPr fontId="2" type="noConversion"/>
  </si>
  <si>
    <t>優：方便</t>
    <phoneticPr fontId="2" type="noConversion"/>
  </si>
  <si>
    <t>車</t>
    <phoneticPr fontId="2" type="noConversion"/>
  </si>
  <si>
    <t>依接近該宗地時停車之便利情形衡量</t>
  </si>
  <si>
    <t>停</t>
    <phoneticPr fontId="2" type="noConversion"/>
  </si>
  <si>
    <t>劣：D＜1000m</t>
    <phoneticPr fontId="2" type="noConversion"/>
  </si>
  <si>
    <t>稍劣：1000m≦D＜2000m</t>
    <phoneticPr fontId="2" type="noConversion"/>
  </si>
  <si>
    <t xml:space="preserve">普通：2000m≦D＜3000m </t>
    <phoneticPr fontId="2" type="noConversion"/>
  </si>
  <si>
    <t>施</t>
    <phoneticPr fontId="2" type="noConversion"/>
  </si>
  <si>
    <t xml:space="preserve">稍優：3000m≦D＜4000m </t>
    <phoneticPr fontId="2" type="noConversion"/>
  </si>
  <si>
    <t>設</t>
    <phoneticPr fontId="2" type="noConversion"/>
  </si>
  <si>
    <t>優：4000m≦D</t>
    <phoneticPr fontId="2" type="noConversion"/>
  </si>
  <si>
    <t>惡</t>
    <phoneticPr fontId="2" type="noConversion"/>
  </si>
  <si>
    <t>以該宗地接近嫌惡設施之距離（D）衡量。</t>
    <phoneticPr fontId="2" type="noConversion"/>
  </si>
  <si>
    <t>嫌</t>
    <phoneticPr fontId="2" type="noConversion"/>
  </si>
  <si>
    <t>周邊環境條件</t>
  </si>
  <si>
    <t>程度</t>
  </si>
  <si>
    <t>之</t>
    <phoneticPr fontId="2" type="noConversion"/>
  </si>
  <si>
    <t>劣：2000m＜D</t>
    <phoneticPr fontId="2" type="noConversion"/>
  </si>
  <si>
    <t>圈</t>
    <phoneticPr fontId="2" type="noConversion"/>
  </si>
  <si>
    <t>普通：200m＜D≦2000m</t>
    <phoneticPr fontId="2" type="noConversion"/>
  </si>
  <si>
    <t>商</t>
    <phoneticPr fontId="2" type="noConversion"/>
  </si>
  <si>
    <t>優：D≦200m</t>
    <phoneticPr fontId="2" type="noConversion"/>
  </si>
  <si>
    <t>近</t>
    <phoneticPr fontId="2" type="noConversion"/>
  </si>
  <si>
    <t>以該宗地最接近商圈之距離（D）衡量。</t>
    <phoneticPr fontId="2" type="noConversion"/>
  </si>
  <si>
    <t>接</t>
    <phoneticPr fontId="2" type="noConversion"/>
  </si>
  <si>
    <t>接近條件</t>
  </si>
  <si>
    <t>站</t>
    <phoneticPr fontId="2" type="noConversion"/>
  </si>
  <si>
    <t>以該宗地最接近車站（含火車、高鐵、捷運及公車站牌等）之距離（D）衡量。</t>
    <phoneticPr fontId="2" type="noConversion"/>
  </si>
  <si>
    <t>廣場</t>
    <phoneticPr fontId="2" type="noConversion"/>
  </si>
  <si>
    <t>、</t>
    <phoneticPr fontId="2" type="noConversion"/>
  </si>
  <si>
    <t>公園</t>
    <phoneticPr fontId="2" type="noConversion"/>
  </si>
  <si>
    <t>以該宗地最接近公園、廣場之距離（D）衡量。</t>
    <phoneticPr fontId="2" type="noConversion"/>
  </si>
  <si>
    <t>接近</t>
    <phoneticPr fontId="2" type="noConversion"/>
  </si>
  <si>
    <t>場</t>
    <phoneticPr fontId="2" type="noConversion"/>
  </si>
  <si>
    <t>市</t>
    <phoneticPr fontId="2" type="noConversion"/>
  </si>
  <si>
    <t>以該宗地最接近市場之距離（D）衡量。</t>
    <phoneticPr fontId="2" type="noConversion"/>
  </si>
  <si>
    <t>校</t>
    <phoneticPr fontId="2" type="noConversion"/>
  </si>
  <si>
    <t>學</t>
    <phoneticPr fontId="2" type="noConversion"/>
  </si>
  <si>
    <t>以該宗地最接近學校之距離（D）衡量。</t>
    <phoneticPr fontId="2" type="noConversion"/>
  </si>
  <si>
    <t>劣：W＜5m</t>
    <phoneticPr fontId="2" type="noConversion"/>
  </si>
  <si>
    <t>度</t>
  </si>
  <si>
    <t>稍劣：5m≦W＜10m</t>
    <phoneticPr fontId="2" type="noConversion"/>
  </si>
  <si>
    <t>寬</t>
    <phoneticPr fontId="2" type="noConversion"/>
  </si>
  <si>
    <t>普通：10m≦W＜25m</t>
    <phoneticPr fontId="2" type="noConversion"/>
  </si>
  <si>
    <t>路</t>
    <phoneticPr fontId="2" type="noConversion"/>
  </si>
  <si>
    <t>稍優：25m≦W＜40m</t>
    <phoneticPr fontId="2" type="noConversion"/>
  </si>
  <si>
    <t>道</t>
    <phoneticPr fontId="2" type="noConversion"/>
  </si>
  <si>
    <t>優：40m≦W</t>
    <phoneticPr fontId="2" type="noConversion"/>
  </si>
  <si>
    <t>前</t>
    <phoneticPr fontId="2" type="noConversion"/>
  </si>
  <si>
    <t>以該宗地實際出入道路路寬（W）</t>
  </si>
  <si>
    <t>面</t>
    <phoneticPr fontId="2" type="noConversion"/>
  </si>
  <si>
    <t>劣：無</t>
  </si>
  <si>
    <t>稍劣：農路</t>
  </si>
  <si>
    <t>類</t>
    <phoneticPr fontId="2" type="noConversion"/>
  </si>
  <si>
    <t>普通：巷道</t>
  </si>
  <si>
    <t>種</t>
    <phoneticPr fontId="2" type="noConversion"/>
  </si>
  <si>
    <t>稍優：次要道路</t>
  </si>
  <si>
    <t>優：主要道路</t>
  </si>
  <si>
    <t>道路條件</t>
  </si>
  <si>
    <t>劣：高亢、低窪</t>
    <phoneticPr fontId="2" type="noConversion"/>
  </si>
  <si>
    <t>優：平坦</t>
  </si>
  <si>
    <t>勢</t>
    <phoneticPr fontId="2" type="noConversion"/>
  </si>
  <si>
    <t>以自主要出入道路通達該宗地之地勢衡量</t>
    <phoneticPr fontId="2" type="noConversion"/>
  </si>
  <si>
    <t>地</t>
    <phoneticPr fontId="2" type="noConversion"/>
  </si>
  <si>
    <t>劣：非臨街地</t>
  </si>
  <si>
    <t>稍劣：單面臨街地</t>
  </si>
  <si>
    <t>形</t>
  </si>
  <si>
    <t>普通：雙面臨街地（不含路角地）</t>
    <phoneticPr fontId="2" type="noConversion"/>
  </si>
  <si>
    <t>情</t>
    <phoneticPr fontId="2" type="noConversion"/>
  </si>
  <si>
    <t>稍優：路角地</t>
  </si>
  <si>
    <t>街</t>
    <phoneticPr fontId="2" type="noConversion"/>
  </si>
  <si>
    <t>優：三面臨街以上</t>
    <phoneticPr fontId="2" type="noConversion"/>
  </si>
  <si>
    <t>臨</t>
    <phoneticPr fontId="2" type="noConversion"/>
  </si>
  <si>
    <t>劣：不規則形且可利用度低者</t>
    <phoneticPr fontId="2" type="noConversion"/>
  </si>
  <si>
    <t>狀</t>
    <phoneticPr fontId="2" type="noConversion"/>
  </si>
  <si>
    <t>優：方形（包括正方形、長方形、近似方形、近似長方形）</t>
    <phoneticPr fontId="2" type="noConversion"/>
  </si>
  <si>
    <t>形</t>
    <phoneticPr fontId="2" type="noConversion"/>
  </si>
  <si>
    <t>劣：D＜10m</t>
    <phoneticPr fontId="2" type="noConversion"/>
  </si>
  <si>
    <t>普通：10m≦D＜50m</t>
    <phoneticPr fontId="2" type="noConversion"/>
  </si>
  <si>
    <t>優：50m≦D</t>
    <phoneticPr fontId="2" type="noConversion"/>
  </si>
  <si>
    <t>深度：D</t>
    <phoneticPr fontId="2" type="noConversion"/>
  </si>
  <si>
    <t>深</t>
    <phoneticPr fontId="2" type="noConversion"/>
  </si>
  <si>
    <t>普通：5m≦W＜30m</t>
    <phoneticPr fontId="2" type="noConversion"/>
  </si>
  <si>
    <t>優：30m≦W</t>
    <phoneticPr fontId="2" type="noConversion"/>
  </si>
  <si>
    <t>寬度：W</t>
    <phoneticPr fontId="2" type="noConversion"/>
  </si>
  <si>
    <t>劣：A＜100㎡</t>
    <phoneticPr fontId="2" type="noConversion"/>
  </si>
  <si>
    <t>普通：100㎡≦A＜2500㎡</t>
    <phoneticPr fontId="2" type="noConversion"/>
  </si>
  <si>
    <t>優：2500㎡≦A</t>
    <phoneticPr fontId="2" type="noConversion"/>
  </si>
  <si>
    <t>積</t>
  </si>
  <si>
    <t>面積：A</t>
    <phoneticPr fontId="2" type="noConversion"/>
  </si>
  <si>
    <t>宗地條件</t>
  </si>
  <si>
    <t>（百  分  比）</t>
  </si>
  <si>
    <t>備          註</t>
  </si>
  <si>
    <t>價    格    修    正    率</t>
  </si>
  <si>
    <t>細項</t>
  </si>
  <si>
    <t>主要項目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</si>
</sst>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00_ "/>
  </numFmts>
  <fonts count="6">
    <font>
      <sz val="12"/>
      <name val="新細明體"/>
      <family val="1"/>
      <charset val="136"/>
    </font>
    <font>
      <sz val="12"/>
      <name val="華康細圓體"/>
      <family val="3"/>
      <charset val="136"/>
    </font>
    <font>
      <sz val="9"/>
      <name val="新細明體"/>
      <family val="1"/>
      <charset val="136"/>
    </font>
    <font>
      <sz val="12"/>
      <name val="Courier"/>
      <family val="3"/>
    </font>
    <font>
      <sz val="8"/>
      <name val="華康細圓體"/>
      <family val="3"/>
      <charset val="136"/>
    </font>
    <font>
      <sz val="9"/>
      <name val="華康細圓體"/>
      <family val="3"/>
      <charset val="136"/>
    </font>
  </fonts>
  <fills count="3">
    <fill>
      <patternFill patternType="none"/>
    </fill>
    <fill>
      <patternFill patternType="gray125"/>
    </fill>
    <fill>
      <patternFill patternType="solid">
        <fgColor indexed="13"/>
        <bgColor indexed="64"/>
      </patternFill>
    </fill>
  </fills>
  <borders count="49">
    <border>
      <left/>
      <right/>
      <top/>
      <bottom/>
      <diagonal/>
    </border>
    <border>
      <left style="medium">
        <color indexed="64"/>
      </left>
      <right style="thick">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medium">
        <color indexed="64"/>
      </left>
      <right/>
      <top/>
      <bottom style="thick">
        <color indexed="64"/>
      </bottom>
      <diagonal/>
    </border>
    <border>
      <left style="thick">
        <color indexed="64"/>
      </left>
      <right style="medium">
        <color indexed="64"/>
      </right>
      <top/>
      <bottom style="thick">
        <color indexed="64"/>
      </bottom>
      <diagonal/>
    </border>
    <border>
      <left style="medium">
        <color indexed="64"/>
      </left>
      <right style="thick">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ck">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ck">
        <color indexed="64"/>
      </left>
      <right style="medium">
        <color indexed="64"/>
      </right>
      <top style="thick">
        <color indexed="64"/>
      </top>
      <bottom/>
      <diagonal/>
    </border>
    <border>
      <left style="medium">
        <color indexed="64"/>
      </left>
      <right style="thick">
        <color indexed="64"/>
      </right>
      <top/>
      <bottom style="thick">
        <color indexed="64"/>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ck">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ck">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ck">
        <color indexed="64"/>
      </right>
      <top style="thick">
        <color indexed="64"/>
      </top>
      <bottom/>
      <diagonal/>
    </border>
    <border>
      <left style="thin">
        <color indexed="64"/>
      </left>
      <right style="medium">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medium">
        <color indexed="64"/>
      </left>
      <right style="thin">
        <color indexed="64"/>
      </right>
      <top style="thick">
        <color indexed="64"/>
      </top>
      <bottom/>
      <diagonal/>
    </border>
    <border>
      <left style="medium">
        <color indexed="64"/>
      </left>
      <right/>
      <top style="thick">
        <color indexed="64"/>
      </top>
      <bottom/>
      <diagonal/>
    </border>
    <border>
      <left style="thick">
        <color indexed="64"/>
      </left>
      <right style="medium">
        <color indexed="64"/>
      </right>
      <top style="medium">
        <color indexed="64"/>
      </top>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ck">
        <color indexed="64"/>
      </bottom>
      <diagonal/>
    </border>
    <border>
      <left/>
      <right/>
      <top/>
      <bottom style="thick">
        <color indexed="64"/>
      </bottom>
      <diagonal/>
    </border>
    <border>
      <left style="medium">
        <color indexed="64"/>
      </left>
      <right style="thick">
        <color indexed="64"/>
      </right>
      <top style="thick">
        <color indexed="64"/>
      </top>
      <bottom style="thin">
        <color indexed="64"/>
      </bottom>
      <diagonal/>
    </border>
    <border>
      <left/>
      <right style="medium">
        <color indexed="64"/>
      </right>
      <top style="thick">
        <color indexed="64"/>
      </top>
      <bottom/>
      <diagonal/>
    </border>
    <border>
      <left/>
      <right/>
      <top style="thick">
        <color indexed="64"/>
      </top>
      <bottom/>
      <diagonal/>
    </border>
  </borders>
  <cellStyleXfs count="2">
    <xf numFmtId="0" fontId="0" fillId="0" borderId="0">
      <alignment vertical="center"/>
    </xf>
    <xf numFmtId="0" fontId="3" fillId="0" borderId="0"/>
  </cellStyleXfs>
  <cellXfs count="82">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lignment vertical="center"/>
    </xf>
    <xf numFmtId="0" fontId="1" fillId="0" borderId="0" xfId="0" applyFont="1" applyAlignment="1">
      <alignment vertical="center" wrapText="1"/>
    </xf>
    <xf numFmtId="0" fontId="1" fillId="0" borderId="0" xfId="0" applyFont="1" applyBorder="1" applyAlignment="1">
      <alignment horizontal="left" vertical="center"/>
    </xf>
    <xf numFmtId="0" fontId="1" fillId="0" borderId="1" xfId="0" applyFont="1" applyBorder="1" applyAlignment="1">
      <alignment horizontal="justify" vertical="top" wrapText="1"/>
    </xf>
    <xf numFmtId="176"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0" fontId="1" fillId="0" borderId="4"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0" borderId="6" xfId="0" applyFont="1" applyBorder="1" applyAlignment="1">
      <alignment horizontal="center" vertical="center" textRotation="255" wrapText="1"/>
    </xf>
    <xf numFmtId="0" fontId="1" fillId="0" borderId="7" xfId="0" applyFont="1" applyBorder="1" applyAlignment="1">
      <alignment horizontal="justify" vertical="top" wrapText="1"/>
    </xf>
    <xf numFmtId="177" fontId="1" fillId="0" borderId="8" xfId="1" applyNumberFormat="1" applyFont="1" applyBorder="1" applyAlignment="1" applyProtection="1">
      <alignment horizontal="center" vertical="center"/>
    </xf>
    <xf numFmtId="176" fontId="1" fillId="0" borderId="9" xfId="1" applyNumberFormat="1" applyFont="1" applyBorder="1" applyAlignment="1" applyProtection="1">
      <alignment horizontal="center" vertical="center"/>
    </xf>
    <xf numFmtId="177" fontId="1" fillId="0" borderId="9" xfId="1" applyNumberFormat="1" applyFont="1" applyBorder="1" applyAlignment="1" applyProtection="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textRotation="255"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4" fillId="0" borderId="13" xfId="0" applyFont="1" applyBorder="1">
      <alignment vertical="center"/>
    </xf>
    <xf numFmtId="0" fontId="1" fillId="0" borderId="14" xfId="0" applyFont="1" applyBorder="1" applyAlignment="1">
      <alignment horizontal="justify" vertical="top"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4" fillId="0" borderId="17" xfId="0" applyFont="1" applyBorder="1" applyAlignment="1">
      <alignment horizontal="right" vertical="center"/>
    </xf>
    <xf numFmtId="0" fontId="1" fillId="0" borderId="18" xfId="0" applyFont="1" applyBorder="1" applyAlignment="1">
      <alignment horizontal="center" vertical="center" textRotation="255" wrapText="1"/>
    </xf>
    <xf numFmtId="0" fontId="1" fillId="0" borderId="19" xfId="0" applyFont="1" applyBorder="1" applyAlignment="1">
      <alignment vertical="top" wrapText="1"/>
    </xf>
    <xf numFmtId="0" fontId="1" fillId="0" borderId="20" xfId="0" applyFont="1" applyBorder="1" applyAlignment="1">
      <alignment vertical="top" wrapText="1"/>
    </xf>
    <xf numFmtId="0" fontId="1" fillId="0" borderId="21" xfId="0" applyFont="1" applyBorder="1" applyAlignment="1">
      <alignment vertical="top"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4" fillId="0" borderId="24" xfId="0" applyFont="1" applyBorder="1" applyAlignment="1">
      <alignment horizontal="right" vertical="center"/>
    </xf>
    <xf numFmtId="0" fontId="1" fillId="0" borderId="25" xfId="0" applyFont="1" applyBorder="1" applyAlignment="1">
      <alignment horizontal="center" vertical="center" wrapText="1"/>
    </xf>
    <xf numFmtId="0" fontId="1" fillId="0" borderId="26" xfId="0" applyFont="1" applyBorder="1" applyAlignment="1">
      <alignment vertical="top" wrapText="1"/>
    </xf>
    <xf numFmtId="176" fontId="1" fillId="0" borderId="27" xfId="1" applyNumberFormat="1" applyFont="1" applyBorder="1" applyAlignment="1" applyProtection="1">
      <alignment horizontal="center" vertical="center"/>
    </xf>
    <xf numFmtId="176" fontId="1" fillId="0" borderId="28" xfId="1" applyNumberFormat="1" applyFont="1" applyBorder="1" applyAlignment="1" applyProtection="1">
      <alignment horizontal="center" vertical="center"/>
    </xf>
    <xf numFmtId="0" fontId="1" fillId="0" borderId="29" xfId="0" applyFont="1" applyBorder="1" applyAlignment="1">
      <alignment horizontal="center" vertical="center" wrapText="1"/>
    </xf>
    <xf numFmtId="0" fontId="1" fillId="2" borderId="30" xfId="0" applyFont="1" applyFill="1" applyBorder="1" applyAlignment="1">
      <alignment horizontal="center" vertical="center" wrapText="1"/>
    </xf>
    <xf numFmtId="0" fontId="1" fillId="0" borderId="31" xfId="0" applyFont="1" applyBorder="1" applyAlignment="1">
      <alignment horizontal="center" vertical="center" textRotation="255" wrapText="1"/>
    </xf>
    <xf numFmtId="0" fontId="1" fillId="0" borderId="0" xfId="0" applyFont="1" applyBorder="1">
      <alignment vertical="center"/>
    </xf>
    <xf numFmtId="176" fontId="1" fillId="0" borderId="8" xfId="1" applyNumberFormat="1" applyFont="1" applyBorder="1" applyAlignment="1" applyProtection="1">
      <alignment horizontal="center" vertical="center"/>
    </xf>
    <xf numFmtId="177" fontId="1" fillId="0" borderId="28" xfId="1" applyNumberFormat="1" applyFont="1" applyBorder="1" applyAlignment="1" applyProtection="1">
      <alignment horizontal="center" vertical="center"/>
    </xf>
    <xf numFmtId="0" fontId="5" fillId="0" borderId="20" xfId="0" applyFont="1" applyBorder="1" applyAlignment="1">
      <alignment vertical="center" wrapText="1"/>
    </xf>
    <xf numFmtId="0" fontId="5" fillId="0" borderId="20" xfId="0" applyFont="1" applyBorder="1" applyAlignment="1">
      <alignment vertical="top" wrapText="1"/>
    </xf>
    <xf numFmtId="0" fontId="1" fillId="0" borderId="20" xfId="0" applyFont="1" applyBorder="1" applyAlignment="1">
      <alignment vertical="center" wrapText="1"/>
    </xf>
    <xf numFmtId="177" fontId="1" fillId="0" borderId="16" xfId="1" applyNumberFormat="1" applyFont="1" applyBorder="1" applyAlignment="1" applyProtection="1">
      <alignment horizontal="center" vertical="center"/>
    </xf>
    <xf numFmtId="0" fontId="1" fillId="0" borderId="13" xfId="0" applyFont="1" applyBorder="1" applyAlignment="1">
      <alignment horizontal="center" vertical="center" wrapText="1"/>
    </xf>
    <xf numFmtId="177" fontId="1" fillId="0" borderId="32" xfId="1" applyNumberFormat="1" applyFont="1" applyBorder="1" applyAlignment="1" applyProtection="1">
      <alignment horizontal="center" vertical="center"/>
    </xf>
    <xf numFmtId="0" fontId="1" fillId="0" borderId="20" xfId="0" applyFont="1" applyBorder="1" applyAlignment="1">
      <alignment horizontal="justify" vertical="top" wrapText="1"/>
    </xf>
    <xf numFmtId="0" fontId="1" fillId="0" borderId="32"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20" xfId="0" applyFont="1" applyFill="1" applyBorder="1" applyAlignment="1">
      <alignment vertical="top" wrapText="1"/>
    </xf>
    <xf numFmtId="0" fontId="1" fillId="0" borderId="20" xfId="0" applyFont="1" applyFill="1" applyBorder="1" applyAlignment="1">
      <alignment horizontal="justify" vertical="top" wrapText="1"/>
    </xf>
    <xf numFmtId="0" fontId="1" fillId="0" borderId="34" xfId="0" applyFont="1" applyBorder="1" applyAlignment="1">
      <alignment vertical="top" wrapText="1"/>
    </xf>
    <xf numFmtId="0" fontId="1" fillId="0" borderId="35" xfId="0" applyFont="1" applyBorder="1" applyAlignment="1">
      <alignment horizontal="center" vertical="center" wrapText="1"/>
    </xf>
    <xf numFmtId="0" fontId="1" fillId="0" borderId="36" xfId="0" applyFont="1" applyBorder="1" applyAlignment="1">
      <alignment horizontal="center" vertical="center" wrapText="1"/>
    </xf>
    <xf numFmtId="0" fontId="4" fillId="0" borderId="37" xfId="0" applyFont="1" applyBorder="1" applyAlignment="1">
      <alignment horizontal="right" vertical="center"/>
    </xf>
    <xf numFmtId="0" fontId="1" fillId="0" borderId="38" xfId="0" applyFont="1" applyBorder="1" applyAlignment="1">
      <alignment horizontal="center" vertical="center" wrapText="1"/>
    </xf>
    <xf numFmtId="0" fontId="1" fillId="0" borderId="39" xfId="0" applyFont="1" applyBorder="1" applyAlignment="1">
      <alignment horizontal="center" vertical="center" textRotation="255" wrapText="1"/>
    </xf>
    <xf numFmtId="0" fontId="1" fillId="0" borderId="20" xfId="0" applyFont="1" applyBorder="1" applyAlignment="1">
      <alignment vertical="top" wrapText="1"/>
    </xf>
    <xf numFmtId="0" fontId="1" fillId="0" borderId="21" xfId="0" applyFont="1" applyBorder="1" applyAlignment="1">
      <alignment vertical="top" wrapText="1"/>
    </xf>
    <xf numFmtId="0" fontId="1" fillId="0" borderId="21" xfId="0" applyFont="1" applyBorder="1" applyAlignment="1">
      <alignment horizontal="left" vertical="top" wrapText="1"/>
    </xf>
    <xf numFmtId="0" fontId="1" fillId="0" borderId="21" xfId="0" applyFont="1" applyBorder="1" applyAlignment="1">
      <alignment horizontal="justify" vertical="top" wrapText="1"/>
    </xf>
    <xf numFmtId="176" fontId="1" fillId="0" borderId="40" xfId="1" applyNumberFormat="1" applyFont="1" applyBorder="1" applyAlignment="1" applyProtection="1">
      <alignment horizontal="center" vertical="center"/>
    </xf>
    <xf numFmtId="177" fontId="1" fillId="0" borderId="41" xfId="1" applyNumberFormat="1" applyFont="1" applyBorder="1" applyAlignment="1" applyProtection="1">
      <alignment horizontal="center" vertical="center"/>
    </xf>
    <xf numFmtId="176" fontId="1" fillId="0" borderId="41" xfId="1" applyNumberFormat="1" applyFont="1" applyBorder="1" applyAlignment="1" applyProtection="1">
      <alignment horizontal="center" vertical="center"/>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18" xfId="0" applyFont="1" applyBorder="1" applyAlignment="1">
      <alignment horizontal="center" vertical="center" wrapText="1"/>
    </xf>
  </cellXfs>
  <cellStyles count="2">
    <cellStyle name="一般" xfId="0" builtinId="0"/>
    <cellStyle name="一般_D4-1C-0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2</xdr:row>
      <xdr:rowOff>0</xdr:rowOff>
    </xdr:from>
    <xdr:to>
      <xdr:col>2</xdr:col>
      <xdr:colOff>723900</xdr:colOff>
      <xdr:row>4</xdr:row>
      <xdr:rowOff>19050</xdr:rowOff>
    </xdr:to>
    <xdr:sp macro="" textlink="">
      <xdr:nvSpPr>
        <xdr:cNvPr id="2" name="Line 1"/>
        <xdr:cNvSpPr>
          <a:spLocks noChangeShapeType="1"/>
        </xdr:cNvSpPr>
      </xdr:nvSpPr>
      <xdr:spPr bwMode="auto">
        <a:xfrm>
          <a:off x="1381125" y="438150"/>
          <a:ext cx="676275" cy="457200"/>
        </a:xfrm>
        <a:custGeom>
          <a:avLst/>
          <a:gdLst>
            <a:gd name="T0" fmla="*/ 0 w 711654"/>
            <a:gd name="T1" fmla="*/ 0 h 450396"/>
            <a:gd name="T2" fmla="*/ 719848 w 711654"/>
            <a:gd name="T3" fmla="*/ 471118 h 450396"/>
            <a:gd name="T4" fmla="*/ 0 60000 65536"/>
            <a:gd name="T5" fmla="*/ 0 60000 65536"/>
          </a:gdLst>
          <a:ahLst/>
          <a:cxnLst>
            <a:cxn ang="T4">
              <a:pos x="T0" y="T1"/>
            </a:cxn>
            <a:cxn ang="T5">
              <a:pos x="T2" y="T3"/>
            </a:cxn>
          </a:cxnLst>
          <a:rect l="0" t="0" r="r" b="b"/>
          <a:pathLst>
            <a:path w="711654" h="450396">
              <a:moveTo>
                <a:pt x="0" y="0"/>
              </a:moveTo>
              <a:lnTo>
                <a:pt x="711654" y="450396"/>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xdr:row>
      <xdr:rowOff>0</xdr:rowOff>
    </xdr:from>
    <xdr:to>
      <xdr:col>3</xdr:col>
      <xdr:colOff>0</xdr:colOff>
      <xdr:row>10</xdr:row>
      <xdr:rowOff>209550</xdr:rowOff>
    </xdr:to>
    <xdr:sp macro="" textlink="">
      <xdr:nvSpPr>
        <xdr:cNvPr id="3" name="Line 2"/>
        <xdr:cNvSpPr>
          <a:spLocks noChangeShapeType="1"/>
        </xdr:cNvSpPr>
      </xdr:nvSpPr>
      <xdr:spPr bwMode="auto">
        <a:xfrm>
          <a:off x="1381125" y="1971675"/>
          <a:ext cx="676275" cy="428625"/>
        </a:xfrm>
        <a:custGeom>
          <a:avLst/>
          <a:gdLst>
            <a:gd name="T0" fmla="*/ 0 w 717097"/>
            <a:gd name="T1" fmla="*/ 0 h 428625"/>
            <a:gd name="T2" fmla="*/ 708962 w 717097"/>
            <a:gd name="T3" fmla="*/ 428625 h 428625"/>
            <a:gd name="T4" fmla="*/ 0 60000 65536"/>
            <a:gd name="T5" fmla="*/ 0 60000 65536"/>
          </a:gdLst>
          <a:ahLst/>
          <a:cxnLst>
            <a:cxn ang="T4">
              <a:pos x="T0" y="T1"/>
            </a:cxn>
            <a:cxn ang="T5">
              <a:pos x="T2" y="T3"/>
            </a:cxn>
          </a:cxnLst>
          <a:rect l="0" t="0" r="r" b="b"/>
          <a:pathLst>
            <a:path w="717097" h="428625">
              <a:moveTo>
                <a:pt x="0" y="0"/>
              </a:moveTo>
              <a:cubicBezTo>
                <a:pt x="219075" y="139246"/>
                <a:pt x="498022" y="289379"/>
                <a:pt x="717097" y="428625"/>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16</xdr:row>
      <xdr:rowOff>0</xdr:rowOff>
    </xdr:from>
    <xdr:to>
      <xdr:col>3</xdr:col>
      <xdr:colOff>0</xdr:colOff>
      <xdr:row>18</xdr:row>
      <xdr:rowOff>9525</xdr:rowOff>
    </xdr:to>
    <xdr:sp macro="" textlink="">
      <xdr:nvSpPr>
        <xdr:cNvPr id="4" name="Line 3"/>
        <xdr:cNvSpPr>
          <a:spLocks noChangeShapeType="1"/>
        </xdr:cNvSpPr>
      </xdr:nvSpPr>
      <xdr:spPr bwMode="auto">
        <a:xfrm>
          <a:off x="1381125" y="3505200"/>
          <a:ext cx="676275" cy="447675"/>
        </a:xfrm>
        <a:custGeom>
          <a:avLst/>
          <a:gdLst>
            <a:gd name="T0" fmla="*/ 0 w 717097"/>
            <a:gd name="T1" fmla="*/ 0 h 444953"/>
            <a:gd name="T2" fmla="*/ 708962 w 717097"/>
            <a:gd name="T3" fmla="*/ 453169 h 444953"/>
            <a:gd name="T4" fmla="*/ 0 60000 65536"/>
            <a:gd name="T5" fmla="*/ 0 60000 65536"/>
          </a:gdLst>
          <a:ahLst/>
          <a:cxnLst>
            <a:cxn ang="T4">
              <a:pos x="T0" y="T1"/>
            </a:cxn>
            <a:cxn ang="T5">
              <a:pos x="T2" y="T3"/>
            </a:cxn>
          </a:cxnLst>
          <a:rect l="0" t="0" r="r" b="b"/>
          <a:pathLst>
            <a:path w="717097" h="444953">
              <a:moveTo>
                <a:pt x="0" y="0"/>
              </a:moveTo>
              <a:cubicBezTo>
                <a:pt x="219075" y="139246"/>
                <a:pt x="498022" y="305707"/>
                <a:pt x="717097" y="44495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23</xdr:row>
      <xdr:rowOff>0</xdr:rowOff>
    </xdr:from>
    <xdr:to>
      <xdr:col>2</xdr:col>
      <xdr:colOff>723900</xdr:colOff>
      <xdr:row>25</xdr:row>
      <xdr:rowOff>0</xdr:rowOff>
    </xdr:to>
    <xdr:sp macro="" textlink="">
      <xdr:nvSpPr>
        <xdr:cNvPr id="5" name="Line 4"/>
        <xdr:cNvSpPr>
          <a:spLocks noChangeShapeType="1"/>
        </xdr:cNvSpPr>
      </xdr:nvSpPr>
      <xdr:spPr bwMode="auto">
        <a:xfrm>
          <a:off x="1381125" y="5038725"/>
          <a:ext cx="676275" cy="438150"/>
        </a:xfrm>
        <a:custGeom>
          <a:avLst/>
          <a:gdLst>
            <a:gd name="T0" fmla="*/ 0 w 711654"/>
            <a:gd name="T1" fmla="*/ 0 h 439510"/>
            <a:gd name="T2" fmla="*/ 719848 w 711654"/>
            <a:gd name="T3" fmla="*/ 435442 h 439510"/>
            <a:gd name="T4" fmla="*/ 0 60000 65536"/>
            <a:gd name="T5" fmla="*/ 0 60000 65536"/>
          </a:gdLst>
          <a:ahLst/>
          <a:cxnLst>
            <a:cxn ang="T4">
              <a:pos x="T0" y="T1"/>
            </a:cxn>
            <a:cxn ang="T5">
              <a:pos x="T2" y="T3"/>
            </a:cxn>
          </a:cxnLst>
          <a:rect l="0" t="0" r="r" b="b"/>
          <a:pathLst>
            <a:path w="711654" h="439510">
              <a:moveTo>
                <a:pt x="0" y="0"/>
              </a:moveTo>
              <a:cubicBezTo>
                <a:pt x="219075" y="139246"/>
                <a:pt x="492579" y="300264"/>
                <a:pt x="711654" y="43951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30</xdr:row>
      <xdr:rowOff>0</xdr:rowOff>
    </xdr:from>
    <xdr:to>
      <xdr:col>3</xdr:col>
      <xdr:colOff>9525</xdr:colOff>
      <xdr:row>31</xdr:row>
      <xdr:rowOff>219075</xdr:rowOff>
    </xdr:to>
    <xdr:sp macro="" textlink="">
      <xdr:nvSpPr>
        <xdr:cNvPr id="6" name="Line 6"/>
        <xdr:cNvSpPr>
          <a:spLocks noChangeShapeType="1"/>
        </xdr:cNvSpPr>
      </xdr:nvSpPr>
      <xdr:spPr bwMode="auto">
        <a:xfrm>
          <a:off x="1381125" y="6572250"/>
          <a:ext cx="685800" cy="438150"/>
        </a:xfrm>
        <a:custGeom>
          <a:avLst/>
          <a:gdLst>
            <a:gd name="T0" fmla="*/ 0 w 722540"/>
            <a:gd name="T1" fmla="*/ 0 h 434067"/>
            <a:gd name="T2" fmla="*/ 726628 w 722540"/>
            <a:gd name="T3" fmla="*/ 446431 h 434067"/>
            <a:gd name="T4" fmla="*/ 0 60000 65536"/>
            <a:gd name="T5" fmla="*/ 0 60000 65536"/>
          </a:gdLst>
          <a:ahLst/>
          <a:cxnLst>
            <a:cxn ang="T4">
              <a:pos x="T0" y="T1"/>
            </a:cxn>
            <a:cxn ang="T5">
              <a:pos x="T2" y="T3"/>
            </a:cxn>
          </a:cxnLst>
          <a:rect l="0" t="0" r="r" b="b"/>
          <a:pathLst>
            <a:path w="722540" h="434067">
              <a:moveTo>
                <a:pt x="0" y="0"/>
              </a:moveTo>
              <a:cubicBezTo>
                <a:pt x="219075" y="139246"/>
                <a:pt x="503465" y="294821"/>
                <a:pt x="722540" y="434067"/>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37</xdr:row>
      <xdr:rowOff>0</xdr:rowOff>
    </xdr:from>
    <xdr:to>
      <xdr:col>3</xdr:col>
      <xdr:colOff>9525</xdr:colOff>
      <xdr:row>39</xdr:row>
      <xdr:rowOff>9525</xdr:rowOff>
    </xdr:to>
    <xdr:sp macro="" textlink="">
      <xdr:nvSpPr>
        <xdr:cNvPr id="7" name="Line 7"/>
        <xdr:cNvSpPr>
          <a:spLocks noChangeShapeType="1"/>
        </xdr:cNvSpPr>
      </xdr:nvSpPr>
      <xdr:spPr bwMode="auto">
        <a:xfrm>
          <a:off x="1381125" y="8105775"/>
          <a:ext cx="685800" cy="447675"/>
        </a:xfrm>
        <a:custGeom>
          <a:avLst/>
          <a:gdLst>
            <a:gd name="T0" fmla="*/ 0 w 722540"/>
            <a:gd name="T1" fmla="*/ 0 h 444953"/>
            <a:gd name="T2" fmla="*/ 726628 w 722540"/>
            <a:gd name="T3" fmla="*/ 453169 h 444953"/>
            <a:gd name="T4" fmla="*/ 0 60000 65536"/>
            <a:gd name="T5" fmla="*/ 0 60000 65536"/>
          </a:gdLst>
          <a:ahLst/>
          <a:cxnLst>
            <a:cxn ang="T4">
              <a:pos x="T0" y="T1"/>
            </a:cxn>
            <a:cxn ang="T5">
              <a:pos x="T2" y="T3"/>
            </a:cxn>
          </a:cxnLst>
          <a:rect l="0" t="0" r="r" b="b"/>
          <a:pathLst>
            <a:path w="722540" h="444953">
              <a:moveTo>
                <a:pt x="0" y="0"/>
              </a:moveTo>
              <a:cubicBezTo>
                <a:pt x="219075" y="139246"/>
                <a:pt x="503465" y="305707"/>
                <a:pt x="722540" y="44495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44</xdr:row>
      <xdr:rowOff>0</xdr:rowOff>
    </xdr:from>
    <xdr:to>
      <xdr:col>3</xdr:col>
      <xdr:colOff>0</xdr:colOff>
      <xdr:row>45</xdr:row>
      <xdr:rowOff>219075</xdr:rowOff>
    </xdr:to>
    <xdr:sp macro="" textlink="">
      <xdr:nvSpPr>
        <xdr:cNvPr id="8" name="Line 8"/>
        <xdr:cNvSpPr>
          <a:spLocks noChangeShapeType="1"/>
        </xdr:cNvSpPr>
      </xdr:nvSpPr>
      <xdr:spPr bwMode="auto">
        <a:xfrm>
          <a:off x="1381125" y="9639300"/>
          <a:ext cx="676275" cy="438150"/>
        </a:xfrm>
        <a:custGeom>
          <a:avLst/>
          <a:gdLst>
            <a:gd name="T0" fmla="*/ 0 w 717097"/>
            <a:gd name="T1" fmla="*/ 0 h 434068"/>
            <a:gd name="T2" fmla="*/ 708962 w 717097"/>
            <a:gd name="T3" fmla="*/ 446429 h 434068"/>
            <a:gd name="T4" fmla="*/ 0 60000 65536"/>
            <a:gd name="T5" fmla="*/ 0 60000 65536"/>
          </a:gdLst>
          <a:ahLst/>
          <a:cxnLst>
            <a:cxn ang="T4">
              <a:pos x="T0" y="T1"/>
            </a:cxn>
            <a:cxn ang="T5">
              <a:pos x="T2" y="T3"/>
            </a:cxn>
          </a:cxnLst>
          <a:rect l="0" t="0" r="r" b="b"/>
          <a:pathLst>
            <a:path w="717097" h="434068">
              <a:moveTo>
                <a:pt x="0" y="0"/>
              </a:moveTo>
              <a:cubicBezTo>
                <a:pt x="219075" y="139246"/>
                <a:pt x="498022" y="294822"/>
                <a:pt x="717097" y="434068"/>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51</xdr:row>
      <xdr:rowOff>0</xdr:rowOff>
    </xdr:from>
    <xdr:to>
      <xdr:col>2</xdr:col>
      <xdr:colOff>714375</xdr:colOff>
      <xdr:row>52</xdr:row>
      <xdr:rowOff>219075</xdr:rowOff>
    </xdr:to>
    <xdr:sp macro="" textlink="">
      <xdr:nvSpPr>
        <xdr:cNvPr id="9" name="Line 9"/>
        <xdr:cNvSpPr>
          <a:spLocks noChangeShapeType="1"/>
        </xdr:cNvSpPr>
      </xdr:nvSpPr>
      <xdr:spPr bwMode="auto">
        <a:xfrm>
          <a:off x="1381125" y="11172825"/>
          <a:ext cx="676275" cy="438150"/>
        </a:xfrm>
        <a:custGeom>
          <a:avLst/>
          <a:gdLst>
            <a:gd name="T0" fmla="*/ 0 w 706211"/>
            <a:gd name="T1" fmla="*/ 0 h 434067"/>
            <a:gd name="T2" fmla="*/ 702136 w 706211"/>
            <a:gd name="T3" fmla="*/ 446431 h 434067"/>
            <a:gd name="T4" fmla="*/ 0 60000 65536"/>
            <a:gd name="T5" fmla="*/ 0 60000 65536"/>
          </a:gdLst>
          <a:ahLst/>
          <a:cxnLst>
            <a:cxn ang="T4">
              <a:pos x="T0" y="T1"/>
            </a:cxn>
            <a:cxn ang="T5">
              <a:pos x="T2" y="T3"/>
            </a:cxn>
          </a:cxnLst>
          <a:rect l="0" t="0" r="r" b="b"/>
          <a:pathLst>
            <a:path w="706211" h="434067">
              <a:moveTo>
                <a:pt x="0" y="0"/>
              </a:moveTo>
              <a:cubicBezTo>
                <a:pt x="219075" y="139246"/>
                <a:pt x="487136" y="294821"/>
                <a:pt x="706211" y="434067"/>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58</xdr:row>
      <xdr:rowOff>0</xdr:rowOff>
    </xdr:from>
    <xdr:to>
      <xdr:col>3</xdr:col>
      <xdr:colOff>9525</xdr:colOff>
      <xdr:row>60</xdr:row>
      <xdr:rowOff>9525</xdr:rowOff>
    </xdr:to>
    <xdr:sp macro="" textlink="">
      <xdr:nvSpPr>
        <xdr:cNvPr id="10" name="Line 10"/>
        <xdr:cNvSpPr>
          <a:spLocks noChangeShapeType="1"/>
        </xdr:cNvSpPr>
      </xdr:nvSpPr>
      <xdr:spPr bwMode="auto">
        <a:xfrm>
          <a:off x="1381125" y="12706350"/>
          <a:ext cx="685800" cy="447675"/>
        </a:xfrm>
        <a:custGeom>
          <a:avLst/>
          <a:gdLst>
            <a:gd name="T0" fmla="*/ 0 w 722540"/>
            <a:gd name="T1" fmla="*/ 0 h 444953"/>
            <a:gd name="T2" fmla="*/ 726628 w 722540"/>
            <a:gd name="T3" fmla="*/ 453169 h 444953"/>
            <a:gd name="T4" fmla="*/ 0 60000 65536"/>
            <a:gd name="T5" fmla="*/ 0 60000 65536"/>
          </a:gdLst>
          <a:ahLst/>
          <a:cxnLst>
            <a:cxn ang="T4">
              <a:pos x="T0" y="T1"/>
            </a:cxn>
            <a:cxn ang="T5">
              <a:pos x="T2" y="T3"/>
            </a:cxn>
          </a:cxnLst>
          <a:rect l="0" t="0" r="r" b="b"/>
          <a:pathLst>
            <a:path w="722540" h="444953">
              <a:moveTo>
                <a:pt x="0" y="0"/>
              </a:moveTo>
              <a:cubicBezTo>
                <a:pt x="219075" y="139246"/>
                <a:pt x="503465" y="305707"/>
                <a:pt x="722540" y="44495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65</xdr:row>
      <xdr:rowOff>0</xdr:rowOff>
    </xdr:from>
    <xdr:to>
      <xdr:col>3</xdr:col>
      <xdr:colOff>0</xdr:colOff>
      <xdr:row>67</xdr:row>
      <xdr:rowOff>0</xdr:rowOff>
    </xdr:to>
    <xdr:sp macro="" textlink="">
      <xdr:nvSpPr>
        <xdr:cNvPr id="11" name="Line 11"/>
        <xdr:cNvSpPr>
          <a:spLocks noChangeShapeType="1"/>
        </xdr:cNvSpPr>
      </xdr:nvSpPr>
      <xdr:spPr bwMode="auto">
        <a:xfrm>
          <a:off x="1381125" y="14239875"/>
          <a:ext cx="676275" cy="438150"/>
        </a:xfrm>
        <a:custGeom>
          <a:avLst/>
          <a:gdLst>
            <a:gd name="T0" fmla="*/ 0 w 717097"/>
            <a:gd name="T1" fmla="*/ 0 h 439510"/>
            <a:gd name="T2" fmla="*/ 708962 w 717097"/>
            <a:gd name="T3" fmla="*/ 435442 h 439510"/>
            <a:gd name="T4" fmla="*/ 0 60000 65536"/>
            <a:gd name="T5" fmla="*/ 0 60000 65536"/>
          </a:gdLst>
          <a:ahLst/>
          <a:cxnLst>
            <a:cxn ang="T4">
              <a:pos x="T0" y="T1"/>
            </a:cxn>
            <a:cxn ang="T5">
              <a:pos x="T2" y="T3"/>
            </a:cxn>
          </a:cxnLst>
          <a:rect l="0" t="0" r="r" b="b"/>
          <a:pathLst>
            <a:path w="717097" h="439510">
              <a:moveTo>
                <a:pt x="0" y="0"/>
              </a:moveTo>
              <a:cubicBezTo>
                <a:pt x="219075" y="139246"/>
                <a:pt x="498022" y="300264"/>
                <a:pt x="717097" y="43951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72</xdr:row>
      <xdr:rowOff>0</xdr:rowOff>
    </xdr:from>
    <xdr:to>
      <xdr:col>3</xdr:col>
      <xdr:colOff>9525</xdr:colOff>
      <xdr:row>74</xdr:row>
      <xdr:rowOff>9525</xdr:rowOff>
    </xdr:to>
    <xdr:sp macro="" textlink="">
      <xdr:nvSpPr>
        <xdr:cNvPr id="12" name="Line 12"/>
        <xdr:cNvSpPr>
          <a:spLocks noChangeShapeType="1"/>
        </xdr:cNvSpPr>
      </xdr:nvSpPr>
      <xdr:spPr bwMode="auto">
        <a:xfrm>
          <a:off x="1381125" y="15773400"/>
          <a:ext cx="685800" cy="447675"/>
        </a:xfrm>
        <a:custGeom>
          <a:avLst/>
          <a:gdLst>
            <a:gd name="T0" fmla="*/ 0 w 722540"/>
            <a:gd name="T1" fmla="*/ 0 h 444953"/>
            <a:gd name="T2" fmla="*/ 726628 w 722540"/>
            <a:gd name="T3" fmla="*/ 453169 h 444953"/>
            <a:gd name="T4" fmla="*/ 0 60000 65536"/>
            <a:gd name="T5" fmla="*/ 0 60000 65536"/>
          </a:gdLst>
          <a:ahLst/>
          <a:cxnLst>
            <a:cxn ang="T4">
              <a:pos x="T0" y="T1"/>
            </a:cxn>
            <a:cxn ang="T5">
              <a:pos x="T2" y="T3"/>
            </a:cxn>
          </a:cxnLst>
          <a:rect l="0" t="0" r="r" b="b"/>
          <a:pathLst>
            <a:path w="722540" h="444953">
              <a:moveTo>
                <a:pt x="0" y="0"/>
              </a:moveTo>
              <a:cubicBezTo>
                <a:pt x="219075" y="139246"/>
                <a:pt x="503465" y="305707"/>
                <a:pt x="722540" y="44495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79</xdr:row>
      <xdr:rowOff>0</xdr:rowOff>
    </xdr:from>
    <xdr:to>
      <xdr:col>2</xdr:col>
      <xdr:colOff>723900</xdr:colOff>
      <xdr:row>80</xdr:row>
      <xdr:rowOff>219075</xdr:rowOff>
    </xdr:to>
    <xdr:sp macro="" textlink="">
      <xdr:nvSpPr>
        <xdr:cNvPr id="13" name="Line 13"/>
        <xdr:cNvSpPr>
          <a:spLocks noChangeShapeType="1"/>
        </xdr:cNvSpPr>
      </xdr:nvSpPr>
      <xdr:spPr bwMode="auto">
        <a:xfrm>
          <a:off x="1381125" y="17306925"/>
          <a:ext cx="676275" cy="438150"/>
        </a:xfrm>
        <a:custGeom>
          <a:avLst/>
          <a:gdLst>
            <a:gd name="T0" fmla="*/ 0 w 711654"/>
            <a:gd name="T1" fmla="*/ 0 h 434067"/>
            <a:gd name="T2" fmla="*/ 719848 w 711654"/>
            <a:gd name="T3" fmla="*/ 446431 h 434067"/>
            <a:gd name="T4" fmla="*/ 0 60000 65536"/>
            <a:gd name="T5" fmla="*/ 0 60000 65536"/>
          </a:gdLst>
          <a:ahLst/>
          <a:cxnLst>
            <a:cxn ang="T4">
              <a:pos x="T0" y="T1"/>
            </a:cxn>
            <a:cxn ang="T5">
              <a:pos x="T2" y="T3"/>
            </a:cxn>
          </a:cxnLst>
          <a:rect l="0" t="0" r="r" b="b"/>
          <a:pathLst>
            <a:path w="711654" h="434067">
              <a:moveTo>
                <a:pt x="0" y="0"/>
              </a:moveTo>
              <a:cubicBezTo>
                <a:pt x="219075" y="139246"/>
                <a:pt x="492579" y="294821"/>
                <a:pt x="711654" y="434067"/>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86</xdr:row>
      <xdr:rowOff>0</xdr:rowOff>
    </xdr:from>
    <xdr:to>
      <xdr:col>2</xdr:col>
      <xdr:colOff>714375</xdr:colOff>
      <xdr:row>88</xdr:row>
      <xdr:rowOff>0</xdr:rowOff>
    </xdr:to>
    <xdr:sp macro="" textlink="">
      <xdr:nvSpPr>
        <xdr:cNvPr id="14" name="Line 14"/>
        <xdr:cNvSpPr>
          <a:spLocks noChangeShapeType="1"/>
        </xdr:cNvSpPr>
      </xdr:nvSpPr>
      <xdr:spPr bwMode="auto">
        <a:xfrm>
          <a:off x="1381125" y="18840450"/>
          <a:ext cx="676275" cy="438150"/>
        </a:xfrm>
        <a:custGeom>
          <a:avLst/>
          <a:gdLst>
            <a:gd name="T0" fmla="*/ 0 w 706211"/>
            <a:gd name="T1" fmla="*/ 0 h 439510"/>
            <a:gd name="T2" fmla="*/ 702136 w 706211"/>
            <a:gd name="T3" fmla="*/ 435442 h 439510"/>
            <a:gd name="T4" fmla="*/ 0 60000 65536"/>
            <a:gd name="T5" fmla="*/ 0 60000 65536"/>
          </a:gdLst>
          <a:ahLst/>
          <a:cxnLst>
            <a:cxn ang="T4">
              <a:pos x="T0" y="T1"/>
            </a:cxn>
            <a:cxn ang="T5">
              <a:pos x="T2" y="T3"/>
            </a:cxn>
          </a:cxnLst>
          <a:rect l="0" t="0" r="r" b="b"/>
          <a:pathLst>
            <a:path w="706211" h="439510">
              <a:moveTo>
                <a:pt x="0" y="0"/>
              </a:moveTo>
              <a:lnTo>
                <a:pt x="706211" y="439510"/>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93</xdr:row>
      <xdr:rowOff>0</xdr:rowOff>
    </xdr:from>
    <xdr:to>
      <xdr:col>3</xdr:col>
      <xdr:colOff>9525</xdr:colOff>
      <xdr:row>95</xdr:row>
      <xdr:rowOff>9525</xdr:rowOff>
    </xdr:to>
    <xdr:sp macro="" textlink="">
      <xdr:nvSpPr>
        <xdr:cNvPr id="15" name="Line 15"/>
        <xdr:cNvSpPr>
          <a:spLocks noChangeShapeType="1"/>
        </xdr:cNvSpPr>
      </xdr:nvSpPr>
      <xdr:spPr bwMode="auto">
        <a:xfrm>
          <a:off x="1381125" y="20373975"/>
          <a:ext cx="685800" cy="447675"/>
        </a:xfrm>
        <a:custGeom>
          <a:avLst/>
          <a:gdLst>
            <a:gd name="T0" fmla="*/ 0 w 722540"/>
            <a:gd name="T1" fmla="*/ 0 h 444953"/>
            <a:gd name="T2" fmla="*/ 726628 w 722540"/>
            <a:gd name="T3" fmla="*/ 453169 h 444953"/>
            <a:gd name="T4" fmla="*/ 0 60000 65536"/>
            <a:gd name="T5" fmla="*/ 0 60000 65536"/>
          </a:gdLst>
          <a:ahLst/>
          <a:cxnLst>
            <a:cxn ang="T4">
              <a:pos x="T0" y="T1"/>
            </a:cxn>
            <a:cxn ang="T5">
              <a:pos x="T2" y="T3"/>
            </a:cxn>
          </a:cxnLst>
          <a:rect l="0" t="0" r="r" b="b"/>
          <a:pathLst>
            <a:path w="722540" h="444953">
              <a:moveTo>
                <a:pt x="0" y="0"/>
              </a:moveTo>
              <a:cubicBezTo>
                <a:pt x="219075" y="139246"/>
                <a:pt x="503465" y="305707"/>
                <a:pt x="722540" y="44495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100</xdr:row>
      <xdr:rowOff>0</xdr:rowOff>
    </xdr:from>
    <xdr:to>
      <xdr:col>3</xdr:col>
      <xdr:colOff>0</xdr:colOff>
      <xdr:row>102</xdr:row>
      <xdr:rowOff>9525</xdr:rowOff>
    </xdr:to>
    <xdr:sp macro="" textlink="">
      <xdr:nvSpPr>
        <xdr:cNvPr id="16" name="Line 16"/>
        <xdr:cNvSpPr>
          <a:spLocks noChangeShapeType="1"/>
        </xdr:cNvSpPr>
      </xdr:nvSpPr>
      <xdr:spPr bwMode="auto">
        <a:xfrm>
          <a:off x="1381125" y="21907500"/>
          <a:ext cx="676275" cy="447675"/>
        </a:xfrm>
        <a:custGeom>
          <a:avLst/>
          <a:gdLst>
            <a:gd name="T0" fmla="*/ 0 w 727982"/>
            <a:gd name="T1" fmla="*/ 0 h 439510"/>
            <a:gd name="T2" fmla="*/ 675060 w 727982"/>
            <a:gd name="T3" fmla="*/ 465899 h 439510"/>
            <a:gd name="T4" fmla="*/ 0 60000 65536"/>
            <a:gd name="T5" fmla="*/ 0 60000 65536"/>
          </a:gdLst>
          <a:ahLst/>
          <a:cxnLst>
            <a:cxn ang="T4">
              <a:pos x="T0" y="T1"/>
            </a:cxn>
            <a:cxn ang="T5">
              <a:pos x="T2" y="T3"/>
            </a:cxn>
          </a:cxnLst>
          <a:rect l="0" t="0" r="r" b="b"/>
          <a:pathLst>
            <a:path w="727982" h="439510">
              <a:moveTo>
                <a:pt x="0" y="0"/>
              </a:moveTo>
              <a:cubicBezTo>
                <a:pt x="219075" y="139246"/>
                <a:pt x="508907" y="300264"/>
                <a:pt x="727982" y="439510"/>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107</xdr:row>
      <xdr:rowOff>0</xdr:rowOff>
    </xdr:from>
    <xdr:to>
      <xdr:col>3</xdr:col>
      <xdr:colOff>0</xdr:colOff>
      <xdr:row>109</xdr:row>
      <xdr:rowOff>9525</xdr:rowOff>
    </xdr:to>
    <xdr:sp macro="" textlink="">
      <xdr:nvSpPr>
        <xdr:cNvPr id="17" name="Line 17"/>
        <xdr:cNvSpPr>
          <a:spLocks noChangeShapeType="1"/>
        </xdr:cNvSpPr>
      </xdr:nvSpPr>
      <xdr:spPr bwMode="auto">
        <a:xfrm>
          <a:off x="1381125" y="23441025"/>
          <a:ext cx="676275"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114</xdr:row>
      <xdr:rowOff>0</xdr:rowOff>
    </xdr:from>
    <xdr:to>
      <xdr:col>3</xdr:col>
      <xdr:colOff>0</xdr:colOff>
      <xdr:row>116</xdr:row>
      <xdr:rowOff>19050</xdr:rowOff>
    </xdr:to>
    <xdr:sp macro="" textlink="">
      <xdr:nvSpPr>
        <xdr:cNvPr id="18" name="Line 18"/>
        <xdr:cNvSpPr>
          <a:spLocks noChangeShapeType="1"/>
        </xdr:cNvSpPr>
      </xdr:nvSpPr>
      <xdr:spPr bwMode="auto">
        <a:xfrm>
          <a:off x="1381125" y="24955500"/>
          <a:ext cx="676275" cy="4381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121</xdr:row>
      <xdr:rowOff>0</xdr:rowOff>
    </xdr:from>
    <xdr:to>
      <xdr:col>3</xdr:col>
      <xdr:colOff>9525</xdr:colOff>
      <xdr:row>123</xdr:row>
      <xdr:rowOff>9525</xdr:rowOff>
    </xdr:to>
    <xdr:sp macro="" textlink="">
      <xdr:nvSpPr>
        <xdr:cNvPr id="19" name="Line 19"/>
        <xdr:cNvSpPr>
          <a:spLocks noChangeShapeType="1"/>
        </xdr:cNvSpPr>
      </xdr:nvSpPr>
      <xdr:spPr bwMode="auto">
        <a:xfrm>
          <a:off x="1381125" y="26422350"/>
          <a:ext cx="685800" cy="4286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128</xdr:row>
      <xdr:rowOff>0</xdr:rowOff>
    </xdr:from>
    <xdr:to>
      <xdr:col>3</xdr:col>
      <xdr:colOff>0</xdr:colOff>
      <xdr:row>130</xdr:row>
      <xdr:rowOff>9525</xdr:rowOff>
    </xdr:to>
    <xdr:sp macro="" textlink="">
      <xdr:nvSpPr>
        <xdr:cNvPr id="20" name="Line 20"/>
        <xdr:cNvSpPr>
          <a:spLocks noChangeShapeType="1"/>
        </xdr:cNvSpPr>
      </xdr:nvSpPr>
      <xdr:spPr bwMode="auto">
        <a:xfrm>
          <a:off x="1381125" y="27889200"/>
          <a:ext cx="676275"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135</xdr:row>
      <xdr:rowOff>0</xdr:rowOff>
    </xdr:from>
    <xdr:to>
      <xdr:col>3</xdr:col>
      <xdr:colOff>0</xdr:colOff>
      <xdr:row>137</xdr:row>
      <xdr:rowOff>9525</xdr:rowOff>
    </xdr:to>
    <xdr:sp macro="" textlink="">
      <xdr:nvSpPr>
        <xdr:cNvPr id="21" name="Line 21"/>
        <xdr:cNvSpPr>
          <a:spLocks noChangeShapeType="1"/>
        </xdr:cNvSpPr>
      </xdr:nvSpPr>
      <xdr:spPr bwMode="auto">
        <a:xfrm>
          <a:off x="1381125" y="29422725"/>
          <a:ext cx="676275" cy="4476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1"/>
  <sheetViews>
    <sheetView tabSelected="1" view="pageBreakPreview" zoomScale="130" zoomScaleNormal="100" zoomScaleSheetLayoutView="130" workbookViewId="0">
      <selection activeCell="A45" sqref="A45:A58"/>
    </sheetView>
  </sheetViews>
  <sheetFormatPr defaultRowHeight="17.25" customHeight="1"/>
  <cols>
    <col min="1" max="1" width="5.125" style="2" customWidth="1"/>
    <col min="2" max="2" width="5.5" style="1" customWidth="1"/>
    <col min="3" max="8" width="9.5" style="1" customWidth="1"/>
    <col min="9" max="9" width="50.625" style="1" customWidth="1"/>
    <col min="10" max="16384" width="9" style="1"/>
  </cols>
  <sheetData>
    <row r="1" spans="1:9" ht="17.25" customHeight="1" thickTop="1">
      <c r="A1" s="81" t="s">
        <v>154</v>
      </c>
      <c r="B1" s="80" t="s">
        <v>153</v>
      </c>
      <c r="C1" s="80" t="s">
        <v>152</v>
      </c>
      <c r="D1" s="79"/>
      <c r="E1" s="79"/>
      <c r="F1" s="79"/>
      <c r="G1" s="79"/>
      <c r="H1" s="78"/>
      <c r="I1" s="77" t="s">
        <v>151</v>
      </c>
    </row>
    <row r="2" spans="1:9" ht="17.25" customHeight="1" thickBot="1">
      <c r="A2" s="76"/>
      <c r="B2" s="75"/>
      <c r="C2" s="75" t="s">
        <v>150</v>
      </c>
      <c r="D2" s="74"/>
      <c r="E2" s="74"/>
      <c r="F2" s="74"/>
      <c r="G2" s="74"/>
      <c r="H2" s="73"/>
      <c r="I2" s="72"/>
    </row>
    <row r="3" spans="1:9" ht="17.25" customHeight="1">
      <c r="A3" s="61" t="s">
        <v>149</v>
      </c>
      <c r="B3" s="19" t="s">
        <v>109</v>
      </c>
      <c r="C3" s="27" t="s">
        <v>16</v>
      </c>
      <c r="D3" s="71" t="s">
        <v>13</v>
      </c>
      <c r="E3" s="26" t="s">
        <v>46</v>
      </c>
      <c r="F3" s="26" t="s">
        <v>44</v>
      </c>
      <c r="G3" s="26"/>
      <c r="H3" s="70"/>
      <c r="I3" s="51" t="s">
        <v>148</v>
      </c>
    </row>
    <row r="4" spans="1:9" ht="17.25" customHeight="1">
      <c r="A4" s="20"/>
      <c r="B4" s="19" t="s">
        <v>147</v>
      </c>
      <c r="C4" s="23" t="s">
        <v>14</v>
      </c>
      <c r="D4" s="52"/>
      <c r="E4" s="22"/>
      <c r="F4" s="22"/>
      <c r="G4" s="22"/>
      <c r="H4" s="69"/>
      <c r="I4" s="51" t="s">
        <v>146</v>
      </c>
    </row>
    <row r="5" spans="1:9" ht="17.25" customHeight="1">
      <c r="A5" s="20"/>
      <c r="B5" s="19"/>
      <c r="C5" s="49" t="s">
        <v>13</v>
      </c>
      <c r="D5" s="16">
        <v>0</v>
      </c>
      <c r="E5" s="17">
        <f>D5+$B$9/2</f>
        <v>1.5</v>
      </c>
      <c r="F5" s="17">
        <f>E5+$B$9/2</f>
        <v>3</v>
      </c>
      <c r="G5" s="17"/>
      <c r="H5" s="68"/>
      <c r="I5" s="51" t="s">
        <v>145</v>
      </c>
    </row>
    <row r="6" spans="1:9" ht="17.25" customHeight="1">
      <c r="A6" s="20"/>
      <c r="B6" s="19"/>
      <c r="C6" s="18" t="s">
        <v>46</v>
      </c>
      <c r="D6" s="17">
        <f>D5-$B$9/2</f>
        <v>-1.5</v>
      </c>
      <c r="E6" s="16">
        <f>D5</f>
        <v>0</v>
      </c>
      <c r="F6" s="17">
        <f>F5-$B$9/2</f>
        <v>1.5</v>
      </c>
      <c r="G6" s="17"/>
      <c r="H6" s="67"/>
      <c r="I6" s="51" t="s">
        <v>144</v>
      </c>
    </row>
    <row r="7" spans="1:9" ht="17.25" customHeight="1">
      <c r="A7" s="20"/>
      <c r="B7" s="19"/>
      <c r="C7" s="18" t="s">
        <v>44</v>
      </c>
      <c r="D7" s="17">
        <f>D6-$B$9/2</f>
        <v>-3</v>
      </c>
      <c r="E7" s="17">
        <f>E6-$B$9/2</f>
        <v>-1.5</v>
      </c>
      <c r="F7" s="16">
        <f>D5</f>
        <v>0</v>
      </c>
      <c r="G7" s="17"/>
      <c r="H7" s="67"/>
      <c r="I7" s="51"/>
    </row>
    <row r="8" spans="1:9" ht="17.25" customHeight="1">
      <c r="A8" s="20"/>
      <c r="B8" s="19"/>
      <c r="C8" s="18"/>
      <c r="D8" s="17"/>
      <c r="E8" s="17"/>
      <c r="F8" s="17"/>
      <c r="G8" s="16"/>
      <c r="H8" s="67"/>
      <c r="I8" s="51"/>
    </row>
    <row r="9" spans="1:9" ht="17.25" customHeight="1" thickBot="1">
      <c r="A9" s="20"/>
      <c r="B9" s="40">
        <v>3</v>
      </c>
      <c r="C9" s="39"/>
      <c r="D9" s="38"/>
      <c r="E9" s="44"/>
      <c r="F9" s="44"/>
      <c r="G9" s="44"/>
      <c r="H9" s="66"/>
      <c r="I9" s="30"/>
    </row>
    <row r="10" spans="1:9" ht="17.25" customHeight="1">
      <c r="A10" s="20"/>
      <c r="B10" s="19" t="s">
        <v>101</v>
      </c>
      <c r="C10" s="34" t="s">
        <v>16</v>
      </c>
      <c r="D10" s="33" t="s">
        <v>13</v>
      </c>
      <c r="E10" s="33" t="s">
        <v>11</v>
      </c>
      <c r="F10" s="33" t="s">
        <v>44</v>
      </c>
      <c r="G10" s="33"/>
      <c r="H10" s="32"/>
      <c r="I10" s="65" t="s">
        <v>143</v>
      </c>
    </row>
    <row r="11" spans="1:9" ht="17.25" customHeight="1">
      <c r="A11" s="20"/>
      <c r="B11" s="19" t="s">
        <v>99</v>
      </c>
      <c r="C11" s="23" t="s">
        <v>14</v>
      </c>
      <c r="D11" s="22"/>
      <c r="E11" s="22"/>
      <c r="F11" s="22"/>
      <c r="G11" s="22"/>
      <c r="H11" s="21"/>
      <c r="I11" s="51" t="s">
        <v>142</v>
      </c>
    </row>
    <row r="12" spans="1:9" ht="17.25" customHeight="1">
      <c r="A12" s="20"/>
      <c r="B12" s="19"/>
      <c r="C12" s="18" t="s">
        <v>13</v>
      </c>
      <c r="D12" s="16">
        <v>0</v>
      </c>
      <c r="E12" s="16">
        <f>D12+$B$16/2</f>
        <v>1</v>
      </c>
      <c r="F12" s="16">
        <f>E12+$B$16/2</f>
        <v>2</v>
      </c>
      <c r="G12" s="17"/>
      <c r="H12" s="43"/>
      <c r="I12" s="51" t="s">
        <v>141</v>
      </c>
    </row>
    <row r="13" spans="1:9" ht="17.25" customHeight="1">
      <c r="A13" s="20"/>
      <c r="B13" s="19"/>
      <c r="C13" s="18" t="s">
        <v>46</v>
      </c>
      <c r="D13" s="16">
        <f>D12-$B$16/2</f>
        <v>-1</v>
      </c>
      <c r="E13" s="16">
        <f>D12</f>
        <v>0</v>
      </c>
      <c r="F13" s="16">
        <f>F12-$B$16/2</f>
        <v>1</v>
      </c>
      <c r="G13" s="17"/>
      <c r="H13" s="15"/>
      <c r="I13" s="30" t="s">
        <v>98</v>
      </c>
    </row>
    <row r="14" spans="1:9" ht="17.25" customHeight="1">
      <c r="A14" s="20"/>
      <c r="B14" s="19"/>
      <c r="C14" s="18" t="s">
        <v>44</v>
      </c>
      <c r="D14" s="16">
        <f>D13-$B$16/2</f>
        <v>-2</v>
      </c>
      <c r="E14" s="16">
        <f>E13-$B$16/2</f>
        <v>-1</v>
      </c>
      <c r="F14" s="16">
        <f>D12</f>
        <v>0</v>
      </c>
      <c r="G14" s="17"/>
      <c r="H14" s="15"/>
      <c r="I14" s="51"/>
    </row>
    <row r="15" spans="1:9" ht="17.25" customHeight="1">
      <c r="A15" s="20"/>
      <c r="B15" s="19"/>
      <c r="C15" s="18"/>
      <c r="D15" s="17"/>
      <c r="E15" s="17"/>
      <c r="F15" s="17"/>
      <c r="G15" s="16"/>
      <c r="H15" s="15"/>
      <c r="I15" s="30"/>
    </row>
    <row r="16" spans="1:9" ht="17.25" customHeight="1" thickBot="1">
      <c r="A16" s="20"/>
      <c r="B16" s="40">
        <v>2</v>
      </c>
      <c r="C16" s="39"/>
      <c r="D16" s="38"/>
      <c r="E16" s="44"/>
      <c r="F16" s="44"/>
      <c r="G16" s="44"/>
      <c r="H16" s="37"/>
      <c r="I16" s="30"/>
    </row>
    <row r="17" spans="1:9" ht="17.25" customHeight="1">
      <c r="A17" s="20"/>
      <c r="B17" s="35" t="s">
        <v>140</v>
      </c>
      <c r="C17" s="34" t="s">
        <v>16</v>
      </c>
      <c r="D17" s="33" t="s">
        <v>13</v>
      </c>
      <c r="E17" s="33" t="s">
        <v>46</v>
      </c>
      <c r="F17" s="33" t="s">
        <v>44</v>
      </c>
      <c r="G17" s="33"/>
      <c r="H17" s="32"/>
      <c r="I17" s="65" t="s">
        <v>139</v>
      </c>
    </row>
    <row r="18" spans="1:9" ht="17.25" customHeight="1">
      <c r="A18" s="20"/>
      <c r="B18" s="19" t="s">
        <v>99</v>
      </c>
      <c r="C18" s="23" t="s">
        <v>14</v>
      </c>
      <c r="D18" s="22"/>
      <c r="E18" s="22"/>
      <c r="F18" s="22"/>
      <c r="G18" s="22"/>
      <c r="H18" s="21"/>
      <c r="I18" s="51" t="s">
        <v>138</v>
      </c>
    </row>
    <row r="19" spans="1:9" ht="17.25" customHeight="1">
      <c r="A19" s="20"/>
      <c r="B19" s="19"/>
      <c r="C19" s="18" t="s">
        <v>13</v>
      </c>
      <c r="D19" s="16">
        <v>0</v>
      </c>
      <c r="E19" s="16">
        <f>D19+$B$23/2</f>
        <v>1</v>
      </c>
      <c r="F19" s="16">
        <f>E19+$B$23/2</f>
        <v>2</v>
      </c>
      <c r="G19" s="17"/>
      <c r="H19" s="43"/>
      <c r="I19" s="51" t="s">
        <v>137</v>
      </c>
    </row>
    <row r="20" spans="1:9" ht="17.25" customHeight="1">
      <c r="A20" s="20"/>
      <c r="B20" s="19"/>
      <c r="C20" s="18" t="s">
        <v>46</v>
      </c>
      <c r="D20" s="16">
        <f>D19-$B$23/2</f>
        <v>-1</v>
      </c>
      <c r="E20" s="16">
        <f>D19</f>
        <v>0</v>
      </c>
      <c r="F20" s="16">
        <f>F19-$B$23/2</f>
        <v>1</v>
      </c>
      <c r="G20" s="17"/>
      <c r="H20" s="15"/>
      <c r="I20" s="30" t="s">
        <v>136</v>
      </c>
    </row>
    <row r="21" spans="1:9" ht="17.25" customHeight="1">
      <c r="A21" s="20"/>
      <c r="B21" s="19"/>
      <c r="C21" s="18" t="s">
        <v>44</v>
      </c>
      <c r="D21" s="16">
        <f>D20-$B$23/2</f>
        <v>-2</v>
      </c>
      <c r="E21" s="16">
        <f>E20-$B$23/2</f>
        <v>-1</v>
      </c>
      <c r="F21" s="16">
        <f>D19</f>
        <v>0</v>
      </c>
      <c r="G21" s="17"/>
      <c r="H21" s="15"/>
      <c r="I21" s="51"/>
    </row>
    <row r="22" spans="1:9" ht="17.25" customHeight="1">
      <c r="A22" s="20"/>
      <c r="B22" s="19"/>
      <c r="C22" s="18"/>
      <c r="D22" s="17"/>
      <c r="E22" s="17"/>
      <c r="F22" s="17"/>
      <c r="G22" s="16"/>
      <c r="H22" s="15"/>
      <c r="I22" s="30"/>
    </row>
    <row r="23" spans="1:9" ht="17.25" customHeight="1" thickBot="1">
      <c r="A23" s="20"/>
      <c r="B23" s="40">
        <v>2</v>
      </c>
      <c r="C23" s="39"/>
      <c r="D23" s="38"/>
      <c r="E23" s="44"/>
      <c r="F23" s="44"/>
      <c r="G23" s="44"/>
      <c r="H23" s="37"/>
      <c r="I23" s="30"/>
    </row>
    <row r="24" spans="1:9" ht="17.25" customHeight="1">
      <c r="A24" s="20"/>
      <c r="B24" s="35" t="s">
        <v>135</v>
      </c>
      <c r="C24" s="34" t="s">
        <v>16</v>
      </c>
      <c r="D24" s="33" t="s">
        <v>13</v>
      </c>
      <c r="E24" s="33" t="s">
        <v>9</v>
      </c>
      <c r="F24" s="53"/>
      <c r="G24" s="33"/>
      <c r="H24" s="32"/>
      <c r="I24" s="64" t="s">
        <v>134</v>
      </c>
    </row>
    <row r="25" spans="1:9" ht="17.25" customHeight="1">
      <c r="A25" s="20"/>
      <c r="B25" s="19" t="s">
        <v>133</v>
      </c>
      <c r="C25" s="23" t="s">
        <v>14</v>
      </c>
      <c r="D25" s="22"/>
      <c r="E25" s="22"/>
      <c r="F25" s="52"/>
      <c r="G25" s="22"/>
      <c r="H25" s="21"/>
      <c r="I25" s="62"/>
    </row>
    <row r="26" spans="1:9" ht="17.25" customHeight="1">
      <c r="A26" s="20"/>
      <c r="B26" s="19"/>
      <c r="C26" s="18" t="s">
        <v>13</v>
      </c>
      <c r="D26" s="16">
        <v>0</v>
      </c>
      <c r="E26" s="16">
        <f>D26+$B$30</f>
        <v>4</v>
      </c>
      <c r="F26" s="50"/>
      <c r="G26" s="17"/>
      <c r="H26" s="43"/>
      <c r="I26" s="62"/>
    </row>
    <row r="27" spans="1:9" ht="17.25" customHeight="1">
      <c r="A27" s="20"/>
      <c r="B27" s="19"/>
      <c r="C27" s="18" t="s">
        <v>9</v>
      </c>
      <c r="D27" s="16">
        <f>D26-$B$30</f>
        <v>-4</v>
      </c>
      <c r="E27" s="16">
        <f>D26</f>
        <v>0</v>
      </c>
      <c r="F27" s="17"/>
      <c r="G27" s="17"/>
      <c r="H27" s="15"/>
      <c r="I27" s="30" t="s">
        <v>132</v>
      </c>
    </row>
    <row r="28" spans="1:9" ht="17.25" customHeight="1">
      <c r="A28" s="20"/>
      <c r="B28" s="19"/>
      <c r="C28" s="49"/>
      <c r="D28" s="48"/>
      <c r="E28" s="17"/>
      <c r="F28" s="16"/>
      <c r="G28" s="17"/>
      <c r="H28" s="15"/>
      <c r="I28" s="30"/>
    </row>
    <row r="29" spans="1:9" ht="17.25" customHeight="1">
      <c r="A29" s="20"/>
      <c r="B29" s="19"/>
      <c r="C29" s="18"/>
      <c r="D29" s="17"/>
      <c r="E29" s="17"/>
      <c r="F29" s="17"/>
      <c r="G29" s="16"/>
      <c r="H29" s="15"/>
      <c r="I29" s="30"/>
    </row>
    <row r="30" spans="1:9" ht="17.25" customHeight="1" thickBot="1">
      <c r="A30" s="20"/>
      <c r="B30" s="40">
        <v>4</v>
      </c>
      <c r="C30" s="39"/>
      <c r="D30" s="38"/>
      <c r="E30" s="44"/>
      <c r="F30" s="44"/>
      <c r="G30" s="44"/>
      <c r="H30" s="37"/>
      <c r="I30" s="30"/>
    </row>
    <row r="31" spans="1:9" ht="17.25" customHeight="1">
      <c r="A31" s="20"/>
      <c r="B31" s="35" t="s">
        <v>131</v>
      </c>
      <c r="C31" s="34" t="s">
        <v>16</v>
      </c>
      <c r="D31" s="33" t="s">
        <v>13</v>
      </c>
      <c r="E31" s="33" t="s">
        <v>12</v>
      </c>
      <c r="F31" s="33" t="s">
        <v>11</v>
      </c>
      <c r="G31" s="33" t="s">
        <v>10</v>
      </c>
      <c r="H31" s="32" t="s">
        <v>9</v>
      </c>
      <c r="I31" s="31" t="s">
        <v>130</v>
      </c>
    </row>
    <row r="32" spans="1:9" ht="17.25" customHeight="1">
      <c r="A32" s="20"/>
      <c r="B32" s="19" t="s">
        <v>129</v>
      </c>
      <c r="C32" s="23" t="s">
        <v>14</v>
      </c>
      <c r="D32" s="22"/>
      <c r="E32" s="22"/>
      <c r="F32" s="22"/>
      <c r="G32" s="22"/>
      <c r="H32" s="21"/>
      <c r="I32" s="30" t="s">
        <v>128</v>
      </c>
    </row>
    <row r="33" spans="1:9" ht="17.25" customHeight="1">
      <c r="A33" s="20"/>
      <c r="B33" s="19" t="s">
        <v>127</v>
      </c>
      <c r="C33" s="18" t="s">
        <v>13</v>
      </c>
      <c r="D33" s="16">
        <v>0</v>
      </c>
      <c r="E33" s="17">
        <f>D33+$B$37/4</f>
        <v>2.5</v>
      </c>
      <c r="F33" s="17">
        <f>E33+$B$37/4</f>
        <v>5</v>
      </c>
      <c r="G33" s="17">
        <f>F33+$B$37/4</f>
        <v>7.5</v>
      </c>
      <c r="H33" s="15">
        <f>G33+$B$37/4</f>
        <v>10</v>
      </c>
      <c r="I33" s="30" t="s">
        <v>126</v>
      </c>
    </row>
    <row r="34" spans="1:9" ht="17.25" customHeight="1">
      <c r="A34" s="20"/>
      <c r="B34" s="19" t="s">
        <v>125</v>
      </c>
      <c r="C34" s="18" t="s">
        <v>12</v>
      </c>
      <c r="D34" s="17">
        <f>D33-$B$37/4</f>
        <v>-2.5</v>
      </c>
      <c r="E34" s="16">
        <f>D33</f>
        <v>0</v>
      </c>
      <c r="F34" s="17">
        <f>F33-$B$37/4</f>
        <v>2.5</v>
      </c>
      <c r="G34" s="17">
        <f>G33-$B$37/4</f>
        <v>5</v>
      </c>
      <c r="H34" s="15">
        <f>H33-$B$37/4</f>
        <v>7.5</v>
      </c>
      <c r="I34" s="30" t="s">
        <v>124</v>
      </c>
    </row>
    <row r="35" spans="1:9" ht="17.25" customHeight="1">
      <c r="A35" s="20"/>
      <c r="B35" s="19"/>
      <c r="C35" s="18" t="s">
        <v>11</v>
      </c>
      <c r="D35" s="17">
        <f>D34-$B$37/4</f>
        <v>-5</v>
      </c>
      <c r="E35" s="17">
        <f>E34-$B$37/4</f>
        <v>-2.5</v>
      </c>
      <c r="F35" s="16">
        <f>D33</f>
        <v>0</v>
      </c>
      <c r="G35" s="17">
        <f>G34-$B$37/4</f>
        <v>2.5</v>
      </c>
      <c r="H35" s="15">
        <f>H34-$B$37/4</f>
        <v>5</v>
      </c>
      <c r="I35" s="30" t="s">
        <v>123</v>
      </c>
    </row>
    <row r="36" spans="1:9" ht="17.25" customHeight="1">
      <c r="A36" s="20"/>
      <c r="B36" s="19"/>
      <c r="C36" s="18" t="s">
        <v>10</v>
      </c>
      <c r="D36" s="17">
        <f>D35-$B$37/4</f>
        <v>-7.5</v>
      </c>
      <c r="E36" s="17">
        <f>E35-$B$37/4</f>
        <v>-5</v>
      </c>
      <c r="F36" s="17">
        <f>F35-$B$37/4</f>
        <v>-2.5</v>
      </c>
      <c r="G36" s="16">
        <f>D33</f>
        <v>0</v>
      </c>
      <c r="H36" s="15">
        <f>H35-$B$37/4</f>
        <v>2.5</v>
      </c>
      <c r="I36" s="30"/>
    </row>
    <row r="37" spans="1:9" ht="17.25" customHeight="1" thickBot="1">
      <c r="A37" s="20"/>
      <c r="B37" s="40">
        <v>10</v>
      </c>
      <c r="C37" s="39" t="s">
        <v>9</v>
      </c>
      <c r="D37" s="44">
        <f>D36-$B$37/4</f>
        <v>-10</v>
      </c>
      <c r="E37" s="44">
        <f>E36-$B$37/4</f>
        <v>-7.5</v>
      </c>
      <c r="F37" s="44">
        <f>F36-$B$37/4</f>
        <v>-5</v>
      </c>
      <c r="G37" s="44">
        <f>G36-$B$37/4</f>
        <v>-2.5</v>
      </c>
      <c r="H37" s="37">
        <f>D33</f>
        <v>0</v>
      </c>
      <c r="I37" s="30"/>
    </row>
    <row r="38" spans="1:9" ht="17.25" customHeight="1">
      <c r="A38" s="20"/>
      <c r="B38" s="35" t="s">
        <v>122</v>
      </c>
      <c r="C38" s="34" t="s">
        <v>16</v>
      </c>
      <c r="D38" s="33" t="s">
        <v>13</v>
      </c>
      <c r="E38" s="33" t="s">
        <v>9</v>
      </c>
      <c r="F38" s="53"/>
      <c r="G38" s="33"/>
      <c r="H38" s="32"/>
      <c r="I38" s="31" t="s">
        <v>121</v>
      </c>
    </row>
    <row r="39" spans="1:9" ht="17.25" customHeight="1">
      <c r="A39" s="20"/>
      <c r="B39" s="19" t="s">
        <v>120</v>
      </c>
      <c r="C39" s="23" t="s">
        <v>14</v>
      </c>
      <c r="D39" s="22"/>
      <c r="E39" s="22"/>
      <c r="F39" s="52"/>
      <c r="G39" s="22"/>
      <c r="H39" s="21"/>
      <c r="I39" s="30" t="s">
        <v>119</v>
      </c>
    </row>
    <row r="40" spans="1:9" ht="17.25" customHeight="1">
      <c r="A40" s="20"/>
      <c r="B40" s="19"/>
      <c r="C40" s="18" t="s">
        <v>13</v>
      </c>
      <c r="D40" s="16">
        <v>0</v>
      </c>
      <c r="E40" s="16">
        <f>D40+$B$44</f>
        <v>3</v>
      </c>
      <c r="F40" s="50"/>
      <c r="G40" s="17"/>
      <c r="H40" s="43"/>
      <c r="I40" s="30" t="s">
        <v>118</v>
      </c>
    </row>
    <row r="41" spans="1:9" ht="17.25" customHeight="1">
      <c r="A41" s="20"/>
      <c r="B41" s="19"/>
      <c r="C41" s="18" t="s">
        <v>9</v>
      </c>
      <c r="D41" s="16">
        <f>D40-$B$44</f>
        <v>-3</v>
      </c>
      <c r="E41" s="16">
        <f>D40</f>
        <v>0</v>
      </c>
      <c r="F41" s="17"/>
      <c r="G41" s="17"/>
      <c r="H41" s="15"/>
      <c r="I41" s="30"/>
    </row>
    <row r="42" spans="1:9" ht="17.25" customHeight="1">
      <c r="A42" s="20"/>
      <c r="B42" s="19"/>
      <c r="C42" s="49"/>
      <c r="D42" s="48"/>
      <c r="E42" s="17"/>
      <c r="F42" s="16"/>
      <c r="G42" s="17"/>
      <c r="H42" s="15"/>
      <c r="I42" s="30"/>
    </row>
    <row r="43" spans="1:9" ht="17.25" customHeight="1">
      <c r="A43" s="20"/>
      <c r="B43" s="19"/>
      <c r="C43" s="18"/>
      <c r="D43" s="17"/>
      <c r="E43" s="17"/>
      <c r="F43" s="17"/>
      <c r="G43" s="16"/>
      <c r="H43" s="15"/>
      <c r="I43" s="30"/>
    </row>
    <row r="44" spans="1:9" ht="17.25" customHeight="1" thickBot="1">
      <c r="A44" s="13"/>
      <c r="B44" s="12">
        <v>3</v>
      </c>
      <c r="C44" s="11"/>
      <c r="D44" s="10"/>
      <c r="E44" s="9"/>
      <c r="F44" s="9"/>
      <c r="G44" s="9"/>
      <c r="H44" s="8"/>
      <c r="I44" s="29"/>
    </row>
    <row r="45" spans="1:9" ht="17.25" customHeight="1" thickTop="1">
      <c r="A45" s="28" t="s">
        <v>117</v>
      </c>
      <c r="B45" s="19" t="s">
        <v>105</v>
      </c>
      <c r="C45" s="27" t="s">
        <v>16</v>
      </c>
      <c r="D45" s="26" t="s">
        <v>13</v>
      </c>
      <c r="E45" s="26" t="s">
        <v>12</v>
      </c>
      <c r="F45" s="26" t="s">
        <v>11</v>
      </c>
      <c r="G45" s="26" t="s">
        <v>10</v>
      </c>
      <c r="H45" s="25" t="s">
        <v>9</v>
      </c>
      <c r="I45" s="30" t="s">
        <v>116</v>
      </c>
    </row>
    <row r="46" spans="1:9" ht="17.25" customHeight="1">
      <c r="A46" s="20"/>
      <c r="B46" s="19" t="s">
        <v>103</v>
      </c>
      <c r="C46" s="23" t="s">
        <v>14</v>
      </c>
      <c r="D46" s="22"/>
      <c r="E46" s="22"/>
      <c r="F46" s="22"/>
      <c r="G46" s="22"/>
      <c r="H46" s="21"/>
      <c r="I46" s="30" t="s">
        <v>115</v>
      </c>
    </row>
    <row r="47" spans="1:9" ht="17.25" customHeight="1">
      <c r="A47" s="20"/>
      <c r="B47" s="19" t="s">
        <v>114</v>
      </c>
      <c r="C47" s="18" t="s">
        <v>13</v>
      </c>
      <c r="D47" s="16">
        <v>0</v>
      </c>
      <c r="E47" s="17">
        <f>D47+$B$51/4</f>
        <v>0.75</v>
      </c>
      <c r="F47" s="17">
        <f>E47+$B$51/4</f>
        <v>1.5</v>
      </c>
      <c r="G47" s="17">
        <f>F47+$B$51/4</f>
        <v>2.25</v>
      </c>
      <c r="H47" s="17">
        <f>G47+$B$51/4</f>
        <v>3</v>
      </c>
      <c r="I47" s="30" t="s">
        <v>113</v>
      </c>
    </row>
    <row r="48" spans="1:9" ht="17.25" customHeight="1">
      <c r="A48" s="20"/>
      <c r="B48" s="19" t="s">
        <v>112</v>
      </c>
      <c r="C48" s="18" t="s">
        <v>12</v>
      </c>
      <c r="D48" s="17">
        <f>D47-$B$51/4</f>
        <v>-0.75</v>
      </c>
      <c r="E48" s="16">
        <f>D47</f>
        <v>0</v>
      </c>
      <c r="F48" s="17">
        <f>E48+$B$51/4</f>
        <v>0.75</v>
      </c>
      <c r="G48" s="17">
        <f>F48+$B$51/4</f>
        <v>1.5</v>
      </c>
      <c r="H48" s="17">
        <f>G48+$B$51/4</f>
        <v>2.25</v>
      </c>
      <c r="I48" s="30" t="s">
        <v>111</v>
      </c>
    </row>
    <row r="49" spans="1:9" ht="17.25" customHeight="1">
      <c r="A49" s="20"/>
      <c r="B49" s="19"/>
      <c r="C49" s="18" t="s">
        <v>11</v>
      </c>
      <c r="D49" s="17">
        <f>D48-$B$51/4</f>
        <v>-1.5</v>
      </c>
      <c r="E49" s="17">
        <f>E48-$B$51/4</f>
        <v>-0.75</v>
      </c>
      <c r="F49" s="16">
        <f>D47</f>
        <v>0</v>
      </c>
      <c r="G49" s="17">
        <f>F49+$B$51/4</f>
        <v>0.75</v>
      </c>
      <c r="H49" s="17">
        <f>G49+$B$51/4</f>
        <v>1.5</v>
      </c>
      <c r="I49" s="30" t="s">
        <v>110</v>
      </c>
    </row>
    <row r="50" spans="1:9" ht="17.25" customHeight="1">
      <c r="A50" s="20"/>
      <c r="B50" s="19"/>
      <c r="C50" s="18" t="s">
        <v>10</v>
      </c>
      <c r="D50" s="17">
        <f>D49-$B$51/4</f>
        <v>-2.25</v>
      </c>
      <c r="E50" s="17">
        <f>E49-$B$51/4</f>
        <v>-1.5</v>
      </c>
      <c r="F50" s="17">
        <f>F49-$B$51/4</f>
        <v>-0.75</v>
      </c>
      <c r="G50" s="16">
        <f>D47</f>
        <v>0</v>
      </c>
      <c r="H50" s="17">
        <f>G50+$B$51/4</f>
        <v>0.75</v>
      </c>
      <c r="I50" s="30"/>
    </row>
    <row r="51" spans="1:9" ht="17.25" customHeight="1" thickBot="1">
      <c r="A51" s="20"/>
      <c r="B51" s="40">
        <v>3</v>
      </c>
      <c r="C51" s="39" t="s">
        <v>9</v>
      </c>
      <c r="D51" s="17">
        <f>D50-$B$51/4</f>
        <v>-3</v>
      </c>
      <c r="E51" s="17">
        <f>E50-$B$51/4</f>
        <v>-2.25</v>
      </c>
      <c r="F51" s="17">
        <f>F50-$B$51/4</f>
        <v>-1.5</v>
      </c>
      <c r="G51" s="17">
        <f>G50-$B$51/4</f>
        <v>-0.75</v>
      </c>
      <c r="H51" s="37">
        <f>D47</f>
        <v>0</v>
      </c>
      <c r="I51" s="30"/>
    </row>
    <row r="52" spans="1:9" ht="17.25" customHeight="1">
      <c r="A52" s="20"/>
      <c r="B52" s="35" t="s">
        <v>109</v>
      </c>
      <c r="C52" s="34" t="s">
        <v>16</v>
      </c>
      <c r="D52" s="33" t="s">
        <v>13</v>
      </c>
      <c r="E52" s="33" t="s">
        <v>12</v>
      </c>
      <c r="F52" s="33" t="s">
        <v>11</v>
      </c>
      <c r="G52" s="33" t="s">
        <v>10</v>
      </c>
      <c r="H52" s="32" t="s">
        <v>9</v>
      </c>
      <c r="I52" s="31" t="s">
        <v>108</v>
      </c>
    </row>
    <row r="53" spans="1:9" ht="17.25" customHeight="1">
      <c r="A53" s="20"/>
      <c r="B53" s="19" t="s">
        <v>107</v>
      </c>
      <c r="C53" s="23" t="s">
        <v>14</v>
      </c>
      <c r="D53" s="22"/>
      <c r="E53" s="22"/>
      <c r="F53" s="22"/>
      <c r="G53" s="22"/>
      <c r="H53" s="21"/>
      <c r="I53" s="51" t="s">
        <v>106</v>
      </c>
    </row>
    <row r="54" spans="1:9" ht="17.25" customHeight="1">
      <c r="A54" s="20"/>
      <c r="B54" s="19" t="s">
        <v>105</v>
      </c>
      <c r="C54" s="18" t="s">
        <v>13</v>
      </c>
      <c r="D54" s="16">
        <v>0</v>
      </c>
      <c r="E54" s="17">
        <f>D54+$B$58/4</f>
        <v>2.5</v>
      </c>
      <c r="F54" s="17">
        <f>E54+$B$58/4</f>
        <v>5</v>
      </c>
      <c r="G54" s="17">
        <f>F54+$B$58/4</f>
        <v>7.5</v>
      </c>
      <c r="H54" s="15">
        <f>G54+$B$58/4</f>
        <v>10</v>
      </c>
      <c r="I54" s="51" t="s">
        <v>104</v>
      </c>
    </row>
    <row r="55" spans="1:9" ht="17.25" customHeight="1">
      <c r="A55" s="20"/>
      <c r="B55" s="19" t="s">
        <v>103</v>
      </c>
      <c r="C55" s="18" t="s">
        <v>12</v>
      </c>
      <c r="D55" s="17">
        <f>D54-$B$58/4</f>
        <v>-2.5</v>
      </c>
      <c r="E55" s="16">
        <f>D54</f>
        <v>0</v>
      </c>
      <c r="F55" s="17">
        <f>F54-$B$58/4</f>
        <v>2.5</v>
      </c>
      <c r="G55" s="17">
        <f>G54-$B$58/4</f>
        <v>5</v>
      </c>
      <c r="H55" s="15">
        <f>H54-$B$58/4</f>
        <v>7.5</v>
      </c>
      <c r="I55" s="51" t="s">
        <v>102</v>
      </c>
    </row>
    <row r="56" spans="1:9" ht="17.25" customHeight="1">
      <c r="A56" s="20"/>
      <c r="B56" s="19" t="s">
        <v>101</v>
      </c>
      <c r="C56" s="18" t="s">
        <v>11</v>
      </c>
      <c r="D56" s="17">
        <f>D55-$B$58/4</f>
        <v>-5</v>
      </c>
      <c r="E56" s="17">
        <f>E55-$B$58/4</f>
        <v>-2.5</v>
      </c>
      <c r="F56" s="16">
        <f>D54</f>
        <v>0</v>
      </c>
      <c r="G56" s="17">
        <f>G55-$B$58/4</f>
        <v>2.5</v>
      </c>
      <c r="H56" s="15">
        <f>H55-$B$58/4</f>
        <v>5</v>
      </c>
      <c r="I56" s="51" t="s">
        <v>100</v>
      </c>
    </row>
    <row r="57" spans="1:9" ht="17.25" customHeight="1">
      <c r="A57" s="20"/>
      <c r="B57" s="19" t="s">
        <v>99</v>
      </c>
      <c r="C57" s="18" t="s">
        <v>10</v>
      </c>
      <c r="D57" s="17">
        <f>D56-$B$58/4</f>
        <v>-7.5</v>
      </c>
      <c r="E57" s="17">
        <f>E56-$B$58/4</f>
        <v>-5</v>
      </c>
      <c r="F57" s="17">
        <f>F56-$B$58/4</f>
        <v>-2.5</v>
      </c>
      <c r="G57" s="16">
        <f>D54</f>
        <v>0</v>
      </c>
      <c r="H57" s="15">
        <f>H56-$B$58/4</f>
        <v>2.5</v>
      </c>
      <c r="I57" s="30" t="s">
        <v>98</v>
      </c>
    </row>
    <row r="58" spans="1:9" ht="17.25" customHeight="1" thickBot="1">
      <c r="A58" s="13"/>
      <c r="B58" s="12">
        <v>10</v>
      </c>
      <c r="C58" s="11" t="s">
        <v>9</v>
      </c>
      <c r="D58" s="9">
        <f>D57-$B$58/4</f>
        <v>-10</v>
      </c>
      <c r="E58" s="9">
        <f>E57-$B$58/4</f>
        <v>-7.5</v>
      </c>
      <c r="F58" s="9">
        <f>F57-$B$58/4</f>
        <v>-5</v>
      </c>
      <c r="G58" s="9">
        <f>G57-$B$58/4</f>
        <v>-2.5</v>
      </c>
      <c r="H58" s="8">
        <f>D54</f>
        <v>0</v>
      </c>
      <c r="I58" s="29"/>
    </row>
    <row r="59" spans="1:9" ht="17.25" customHeight="1" thickTop="1">
      <c r="A59" s="20" t="s">
        <v>84</v>
      </c>
      <c r="B59" s="19" t="s">
        <v>83</v>
      </c>
      <c r="C59" s="27" t="s">
        <v>16</v>
      </c>
      <c r="D59" s="26" t="s">
        <v>13</v>
      </c>
      <c r="E59" s="26" t="s">
        <v>46</v>
      </c>
      <c r="F59" s="26" t="s">
        <v>44</v>
      </c>
      <c r="G59" s="26"/>
      <c r="H59" s="25"/>
      <c r="I59" s="54" t="s">
        <v>97</v>
      </c>
    </row>
    <row r="60" spans="1:9" ht="17.25" customHeight="1">
      <c r="A60" s="20"/>
      <c r="B60" s="19" t="s">
        <v>81</v>
      </c>
      <c r="C60" s="23" t="s">
        <v>14</v>
      </c>
      <c r="D60" s="22"/>
      <c r="E60" s="22"/>
      <c r="F60" s="22"/>
      <c r="G60" s="22"/>
      <c r="H60" s="21"/>
      <c r="I60" s="55" t="s">
        <v>80</v>
      </c>
    </row>
    <row r="61" spans="1:9" ht="17.25" customHeight="1">
      <c r="A61" s="20"/>
      <c r="B61" s="19" t="s">
        <v>96</v>
      </c>
      <c r="C61" s="18" t="s">
        <v>13</v>
      </c>
      <c r="D61" s="16">
        <v>0</v>
      </c>
      <c r="E61" s="17">
        <f>D61+$B$65/2</f>
        <v>1.5</v>
      </c>
      <c r="F61" s="17">
        <f>E61+$B$65/2</f>
        <v>3</v>
      </c>
      <c r="G61" s="16"/>
      <c r="H61" s="43"/>
      <c r="I61" s="55" t="s">
        <v>78</v>
      </c>
    </row>
    <row r="62" spans="1:9" ht="17.25" customHeight="1">
      <c r="A62" s="20"/>
      <c r="B62" s="19" t="s">
        <v>95</v>
      </c>
      <c r="C62" s="18" t="s">
        <v>46</v>
      </c>
      <c r="D62" s="17">
        <f>D61-$B$65/2</f>
        <v>-1.5</v>
      </c>
      <c r="E62" s="16">
        <f>D61</f>
        <v>0</v>
      </c>
      <c r="F62" s="17">
        <f>E62+$B$65/2</f>
        <v>1.5</v>
      </c>
      <c r="G62" s="16"/>
      <c r="H62" s="43"/>
      <c r="I62" s="54" t="s">
        <v>76</v>
      </c>
    </row>
    <row r="63" spans="1:9" ht="17.25" customHeight="1">
      <c r="A63" s="20"/>
      <c r="B63" s="19" t="s">
        <v>75</v>
      </c>
      <c r="C63" s="18" t="s">
        <v>44</v>
      </c>
      <c r="D63" s="17">
        <f>D62-$B$65/2</f>
        <v>-3</v>
      </c>
      <c r="E63" s="17">
        <f>E62-$B$65/2</f>
        <v>-1.5</v>
      </c>
      <c r="F63" s="16">
        <f>D61</f>
        <v>0</v>
      </c>
      <c r="G63" s="16"/>
      <c r="H63" s="43"/>
      <c r="I63" s="55"/>
    </row>
    <row r="64" spans="1:9" ht="17.25" customHeight="1">
      <c r="A64" s="20"/>
      <c r="B64" s="19" t="s">
        <v>74</v>
      </c>
      <c r="C64" s="18"/>
      <c r="D64" s="16"/>
      <c r="E64" s="16"/>
      <c r="F64" s="16"/>
      <c r="G64" s="16"/>
      <c r="H64" s="43"/>
      <c r="I64" s="54"/>
    </row>
    <row r="65" spans="1:9" ht="17.25" customHeight="1" thickBot="1">
      <c r="A65" s="20"/>
      <c r="B65" s="40">
        <v>3</v>
      </c>
      <c r="C65" s="39"/>
      <c r="D65" s="38"/>
      <c r="E65" s="38"/>
      <c r="F65" s="38"/>
      <c r="G65" s="38"/>
      <c r="H65" s="37"/>
      <c r="I65" s="54"/>
    </row>
    <row r="66" spans="1:9" ht="17.25" customHeight="1">
      <c r="A66" s="20"/>
      <c r="B66" s="35" t="s">
        <v>83</v>
      </c>
      <c r="C66" s="34" t="s">
        <v>16</v>
      </c>
      <c r="D66" s="33" t="s">
        <v>13</v>
      </c>
      <c r="E66" s="33" t="s">
        <v>46</v>
      </c>
      <c r="F66" s="33" t="s">
        <v>44</v>
      </c>
      <c r="G66" s="33"/>
      <c r="H66" s="32"/>
      <c r="I66" s="31" t="s">
        <v>94</v>
      </c>
    </row>
    <row r="67" spans="1:9" ht="17.25" customHeight="1">
      <c r="A67" s="20"/>
      <c r="B67" s="19" t="s">
        <v>81</v>
      </c>
      <c r="C67" s="23" t="s">
        <v>14</v>
      </c>
      <c r="D67" s="22"/>
      <c r="E67" s="22"/>
      <c r="F67" s="22"/>
      <c r="G67" s="22"/>
      <c r="H67" s="21"/>
      <c r="I67" s="55" t="s">
        <v>80</v>
      </c>
    </row>
    <row r="68" spans="1:9" ht="17.25" customHeight="1">
      <c r="A68" s="20"/>
      <c r="B68" s="19" t="s">
        <v>93</v>
      </c>
      <c r="C68" s="18" t="s">
        <v>13</v>
      </c>
      <c r="D68" s="16">
        <v>0</v>
      </c>
      <c r="E68" s="17">
        <f>D68+$B$72/2</f>
        <v>1.5</v>
      </c>
      <c r="F68" s="17">
        <f>E68+$B$72/2</f>
        <v>3</v>
      </c>
      <c r="G68" s="16"/>
      <c r="H68" s="43"/>
      <c r="I68" s="55" t="s">
        <v>78</v>
      </c>
    </row>
    <row r="69" spans="1:9" ht="17.25" customHeight="1">
      <c r="A69" s="20"/>
      <c r="B69" s="19" t="s">
        <v>92</v>
      </c>
      <c r="C69" s="18" t="s">
        <v>46</v>
      </c>
      <c r="D69" s="17">
        <f>D68-$B$72/2</f>
        <v>-1.5</v>
      </c>
      <c r="E69" s="16">
        <f>D68</f>
        <v>0</v>
      </c>
      <c r="F69" s="17">
        <f>E69+$B$72/2</f>
        <v>1.5</v>
      </c>
      <c r="G69" s="16"/>
      <c r="H69" s="43"/>
      <c r="I69" s="54" t="s">
        <v>76</v>
      </c>
    </row>
    <row r="70" spans="1:9" ht="17.25" customHeight="1">
      <c r="A70" s="20"/>
      <c r="B70" s="19" t="s">
        <v>75</v>
      </c>
      <c r="C70" s="18" t="s">
        <v>44</v>
      </c>
      <c r="D70" s="17">
        <f>D69-$B$72/2</f>
        <v>-3</v>
      </c>
      <c r="E70" s="17">
        <f>E69-$B$72/2</f>
        <v>-1.5</v>
      </c>
      <c r="F70" s="16">
        <f>D68</f>
        <v>0</v>
      </c>
      <c r="G70" s="16"/>
      <c r="H70" s="43"/>
      <c r="I70" s="55"/>
    </row>
    <row r="71" spans="1:9" ht="17.25" customHeight="1">
      <c r="A71" s="20"/>
      <c r="B71" s="19" t="s">
        <v>74</v>
      </c>
      <c r="C71" s="18"/>
      <c r="D71" s="16"/>
      <c r="E71" s="16"/>
      <c r="F71" s="16"/>
      <c r="G71" s="16"/>
      <c r="H71" s="43"/>
      <c r="I71" s="30"/>
    </row>
    <row r="72" spans="1:9" ht="17.25" customHeight="1" thickBot="1">
      <c r="A72" s="20"/>
      <c r="B72" s="40">
        <v>3</v>
      </c>
      <c r="C72" s="39"/>
      <c r="D72" s="38"/>
      <c r="E72" s="38"/>
      <c r="F72" s="38"/>
      <c r="G72" s="38"/>
      <c r="H72" s="37"/>
      <c r="I72" s="30"/>
    </row>
    <row r="73" spans="1:9" ht="17.25" customHeight="1">
      <c r="A73" s="20"/>
      <c r="B73" s="35" t="s">
        <v>91</v>
      </c>
      <c r="C73" s="34" t="s">
        <v>16</v>
      </c>
      <c r="D73" s="33" t="s">
        <v>13</v>
      </c>
      <c r="E73" s="33" t="s">
        <v>46</v>
      </c>
      <c r="F73" s="33" t="s">
        <v>44</v>
      </c>
      <c r="G73" s="33"/>
      <c r="H73" s="32"/>
      <c r="I73" s="63" t="s">
        <v>90</v>
      </c>
    </row>
    <row r="74" spans="1:9" ht="17.25" customHeight="1">
      <c r="A74" s="20"/>
      <c r="B74" s="19" t="s">
        <v>89</v>
      </c>
      <c r="C74" s="23" t="s">
        <v>14</v>
      </c>
      <c r="D74" s="22"/>
      <c r="E74" s="22"/>
      <c r="F74" s="22"/>
      <c r="G74" s="22"/>
      <c r="H74" s="21"/>
      <c r="I74" s="62"/>
    </row>
    <row r="75" spans="1:9" ht="17.25" customHeight="1">
      <c r="A75" s="20"/>
      <c r="B75" s="19" t="s">
        <v>88</v>
      </c>
      <c r="C75" s="18" t="s">
        <v>13</v>
      </c>
      <c r="D75" s="16">
        <v>0</v>
      </c>
      <c r="E75" s="17">
        <f>D75+$B$79/2</f>
        <v>1.5</v>
      </c>
      <c r="F75" s="17">
        <f>E75+$B$79/2</f>
        <v>3</v>
      </c>
      <c r="G75" s="17"/>
      <c r="H75" s="43"/>
      <c r="I75" s="55" t="s">
        <v>80</v>
      </c>
    </row>
    <row r="76" spans="1:9" ht="17.25" customHeight="1">
      <c r="A76" s="20"/>
      <c r="B76" s="19" t="s">
        <v>87</v>
      </c>
      <c r="C76" s="18" t="s">
        <v>46</v>
      </c>
      <c r="D76" s="17">
        <f>D75-$B$79/2</f>
        <v>-1.5</v>
      </c>
      <c r="E76" s="16">
        <f>D75</f>
        <v>0</v>
      </c>
      <c r="F76" s="17">
        <f>E76+$B$79/2</f>
        <v>1.5</v>
      </c>
      <c r="G76" s="17"/>
      <c r="H76" s="15"/>
      <c r="I76" s="55" t="s">
        <v>78</v>
      </c>
    </row>
    <row r="77" spans="1:9" ht="17.25" customHeight="1">
      <c r="A77" s="20"/>
      <c r="B77" s="19" t="s">
        <v>75</v>
      </c>
      <c r="C77" s="18" t="s">
        <v>44</v>
      </c>
      <c r="D77" s="17">
        <f>D76-$B$79/2</f>
        <v>-3</v>
      </c>
      <c r="E77" s="17">
        <f>E76-$B$79/2</f>
        <v>-1.5</v>
      </c>
      <c r="F77" s="16">
        <f>D75</f>
        <v>0</v>
      </c>
      <c r="G77" s="17"/>
      <c r="H77" s="15"/>
      <c r="I77" s="54" t="s">
        <v>76</v>
      </c>
    </row>
    <row r="78" spans="1:9" ht="17.25" customHeight="1">
      <c r="A78" s="20"/>
      <c r="B78" s="19" t="s">
        <v>74</v>
      </c>
      <c r="C78" s="18"/>
      <c r="D78" s="17"/>
      <c r="E78" s="17"/>
      <c r="F78" s="17"/>
      <c r="G78" s="16"/>
      <c r="H78" s="15"/>
      <c r="I78" s="55"/>
    </row>
    <row r="79" spans="1:9" ht="17.25" customHeight="1" thickBot="1">
      <c r="A79" s="20"/>
      <c r="B79" s="40">
        <v>3</v>
      </c>
      <c r="C79" s="39"/>
      <c r="D79" s="38"/>
      <c r="E79" s="44"/>
      <c r="F79" s="44"/>
      <c r="G79" s="44"/>
      <c r="H79" s="37"/>
      <c r="I79" s="30"/>
    </row>
    <row r="80" spans="1:9" ht="17.25" customHeight="1">
      <c r="A80" s="20"/>
      <c r="B80" s="35" t="s">
        <v>83</v>
      </c>
      <c r="C80" s="34" t="s">
        <v>16</v>
      </c>
      <c r="D80" s="33" t="s">
        <v>13</v>
      </c>
      <c r="E80" s="33" t="s">
        <v>46</v>
      </c>
      <c r="F80" s="33" t="s">
        <v>44</v>
      </c>
      <c r="G80" s="33"/>
      <c r="H80" s="32"/>
      <c r="I80" s="63" t="s">
        <v>86</v>
      </c>
    </row>
    <row r="81" spans="1:9" ht="17.25" customHeight="1">
      <c r="A81" s="20"/>
      <c r="B81" s="19" t="s">
        <v>81</v>
      </c>
      <c r="C81" s="23" t="s">
        <v>14</v>
      </c>
      <c r="D81" s="22"/>
      <c r="E81" s="22"/>
      <c r="F81" s="22"/>
      <c r="G81" s="22"/>
      <c r="H81" s="21"/>
      <c r="I81" s="62"/>
    </row>
    <row r="82" spans="1:9" ht="17.25" customHeight="1">
      <c r="A82" s="20"/>
      <c r="B82" s="19" t="s">
        <v>60</v>
      </c>
      <c r="C82" s="18" t="s">
        <v>13</v>
      </c>
      <c r="D82" s="16">
        <v>0</v>
      </c>
      <c r="E82" s="17">
        <f>D82+$B$86/2</f>
        <v>1.5</v>
      </c>
      <c r="F82" s="17">
        <f>E82+$B$86/2</f>
        <v>3</v>
      </c>
      <c r="G82" s="17"/>
      <c r="H82" s="43"/>
      <c r="I82" s="55" t="s">
        <v>80</v>
      </c>
    </row>
    <row r="83" spans="1:9" ht="17.25" customHeight="1">
      <c r="A83" s="20"/>
      <c r="B83" s="19" t="s">
        <v>85</v>
      </c>
      <c r="C83" s="18" t="s">
        <v>46</v>
      </c>
      <c r="D83" s="17">
        <f>D82-$B$86/2</f>
        <v>-1.5</v>
      </c>
      <c r="E83" s="16">
        <f>D82</f>
        <v>0</v>
      </c>
      <c r="F83" s="17">
        <f>E83+$B$86/2</f>
        <v>1.5</v>
      </c>
      <c r="G83" s="17"/>
      <c r="H83" s="15"/>
      <c r="I83" s="55" t="s">
        <v>78</v>
      </c>
    </row>
    <row r="84" spans="1:9" ht="17.25" customHeight="1">
      <c r="A84" s="20"/>
      <c r="B84" s="19" t="s">
        <v>75</v>
      </c>
      <c r="C84" s="18" t="s">
        <v>44</v>
      </c>
      <c r="D84" s="17">
        <f>D83-$B$86/2</f>
        <v>-3</v>
      </c>
      <c r="E84" s="17">
        <f>E83-$B$86/2</f>
        <v>-1.5</v>
      </c>
      <c r="F84" s="16">
        <f>D82</f>
        <v>0</v>
      </c>
      <c r="G84" s="17"/>
      <c r="H84" s="15"/>
      <c r="I84" s="54" t="s">
        <v>76</v>
      </c>
    </row>
    <row r="85" spans="1:9" ht="17.25" customHeight="1">
      <c r="A85" s="20"/>
      <c r="B85" s="19" t="s">
        <v>74</v>
      </c>
      <c r="C85" s="18"/>
      <c r="D85" s="17"/>
      <c r="E85" s="17"/>
      <c r="F85" s="17"/>
      <c r="G85" s="16"/>
      <c r="H85" s="15"/>
      <c r="I85" s="51"/>
    </row>
    <row r="86" spans="1:9" ht="17.25" customHeight="1" thickBot="1">
      <c r="A86" s="13"/>
      <c r="B86" s="12">
        <v>3</v>
      </c>
      <c r="C86" s="11"/>
      <c r="D86" s="10"/>
      <c r="E86" s="9"/>
      <c r="F86" s="9"/>
      <c r="G86" s="9"/>
      <c r="H86" s="8"/>
      <c r="I86" s="29"/>
    </row>
    <row r="87" spans="1:9" ht="17.25" customHeight="1" thickTop="1">
      <c r="A87" s="61" t="s">
        <v>84</v>
      </c>
      <c r="B87" s="60" t="s">
        <v>83</v>
      </c>
      <c r="C87" s="59" t="s">
        <v>16</v>
      </c>
      <c r="D87" s="58" t="s">
        <v>13</v>
      </c>
      <c r="E87" s="58" t="s">
        <v>12</v>
      </c>
      <c r="F87" s="58" t="s">
        <v>11</v>
      </c>
      <c r="G87" s="58"/>
      <c r="H87" s="57"/>
      <c r="I87" s="56" t="s">
        <v>82</v>
      </c>
    </row>
    <row r="88" spans="1:9" ht="17.25" customHeight="1">
      <c r="A88" s="20"/>
      <c r="B88" s="19" t="s">
        <v>81</v>
      </c>
      <c r="C88" s="23" t="s">
        <v>14</v>
      </c>
      <c r="D88" s="22"/>
      <c r="E88" s="22"/>
      <c r="F88" s="22"/>
      <c r="G88" s="22"/>
      <c r="H88" s="21"/>
      <c r="I88" s="55" t="s">
        <v>80</v>
      </c>
    </row>
    <row r="89" spans="1:9" ht="17.25" customHeight="1">
      <c r="A89" s="20"/>
      <c r="B89" s="19" t="s">
        <v>79</v>
      </c>
      <c r="C89" s="18" t="s">
        <v>13</v>
      </c>
      <c r="D89" s="16">
        <v>0</v>
      </c>
      <c r="E89" s="17">
        <f>D89+$B$93/2</f>
        <v>1.5</v>
      </c>
      <c r="F89" s="17">
        <f>E89+$B$93/2</f>
        <v>3</v>
      </c>
      <c r="G89" s="17"/>
      <c r="H89" s="43"/>
      <c r="I89" s="55" t="s">
        <v>78</v>
      </c>
    </row>
    <row r="90" spans="1:9" ht="17.25" customHeight="1">
      <c r="A90" s="20"/>
      <c r="B90" s="19" t="s">
        <v>77</v>
      </c>
      <c r="C90" s="18" t="s">
        <v>12</v>
      </c>
      <c r="D90" s="17">
        <f>D89-$B$93/2</f>
        <v>-1.5</v>
      </c>
      <c r="E90" s="16">
        <f>D89</f>
        <v>0</v>
      </c>
      <c r="F90" s="17">
        <f>E90+$B$93/2</f>
        <v>1.5</v>
      </c>
      <c r="G90" s="17"/>
      <c r="H90" s="15"/>
      <c r="I90" s="54" t="s">
        <v>76</v>
      </c>
    </row>
    <row r="91" spans="1:9" ht="17.25" customHeight="1">
      <c r="A91" s="20"/>
      <c r="B91" s="19" t="s">
        <v>75</v>
      </c>
      <c r="C91" s="18" t="s">
        <v>11</v>
      </c>
      <c r="D91" s="17">
        <f>D90-$B$93/2</f>
        <v>-3</v>
      </c>
      <c r="E91" s="17">
        <f>E90-$B$93/2</f>
        <v>-1.5</v>
      </c>
      <c r="F91" s="16">
        <f>D89</f>
        <v>0</v>
      </c>
      <c r="G91" s="17"/>
      <c r="H91" s="15"/>
      <c r="I91" s="51"/>
    </row>
    <row r="92" spans="1:9" ht="17.25" customHeight="1">
      <c r="A92" s="20"/>
      <c r="B92" s="19" t="s">
        <v>74</v>
      </c>
      <c r="C92" s="18"/>
      <c r="D92" s="17"/>
      <c r="E92" s="17"/>
      <c r="F92" s="17"/>
      <c r="G92" s="16"/>
      <c r="H92" s="15"/>
      <c r="I92" s="30"/>
    </row>
    <row r="93" spans="1:9" ht="17.25" customHeight="1" thickBot="1">
      <c r="A93" s="13"/>
      <c r="B93" s="12">
        <v>3</v>
      </c>
      <c r="C93" s="11"/>
      <c r="D93" s="10"/>
      <c r="E93" s="9"/>
      <c r="F93" s="9"/>
      <c r="G93" s="9"/>
      <c r="H93" s="8"/>
      <c r="I93" s="29"/>
    </row>
    <row r="94" spans="1:9" ht="17.25" customHeight="1" thickTop="1">
      <c r="A94" s="28" t="s">
        <v>73</v>
      </c>
      <c r="B94" s="19" t="s">
        <v>72</v>
      </c>
      <c r="C94" s="27" t="s">
        <v>16</v>
      </c>
      <c r="D94" s="26" t="s">
        <v>13</v>
      </c>
      <c r="E94" s="26" t="s">
        <v>12</v>
      </c>
      <c r="F94" s="26" t="s">
        <v>11</v>
      </c>
      <c r="G94" s="26" t="s">
        <v>10</v>
      </c>
      <c r="H94" s="25" t="s">
        <v>9</v>
      </c>
      <c r="I94" s="30" t="s">
        <v>71</v>
      </c>
    </row>
    <row r="95" spans="1:9" ht="17.25" customHeight="1">
      <c r="A95" s="20"/>
      <c r="B95" s="19" t="s">
        <v>70</v>
      </c>
      <c r="C95" s="23" t="s">
        <v>14</v>
      </c>
      <c r="D95" s="22"/>
      <c r="E95" s="22"/>
      <c r="F95" s="22"/>
      <c r="G95" s="22"/>
      <c r="H95" s="21"/>
      <c r="I95" s="51" t="s">
        <v>69</v>
      </c>
    </row>
    <row r="96" spans="1:9" ht="17.25" customHeight="1">
      <c r="A96" s="20"/>
      <c r="B96" s="19" t="s">
        <v>68</v>
      </c>
      <c r="C96" s="18" t="s">
        <v>13</v>
      </c>
      <c r="D96" s="16">
        <v>0</v>
      </c>
      <c r="E96" s="17">
        <f>D96+$B$100/4</f>
        <v>1.5</v>
      </c>
      <c r="F96" s="17">
        <f>E96+$B$100/4</f>
        <v>3</v>
      </c>
      <c r="G96" s="17">
        <f>F96+$B$100/4</f>
        <v>4.5</v>
      </c>
      <c r="H96" s="15">
        <f>G96+$B$100/4</f>
        <v>6</v>
      </c>
      <c r="I96" s="51" t="s">
        <v>67</v>
      </c>
    </row>
    <row r="97" spans="1:9" ht="17.25" customHeight="1">
      <c r="A97" s="20"/>
      <c r="B97" s="19" t="s">
        <v>66</v>
      </c>
      <c r="C97" s="18" t="s">
        <v>12</v>
      </c>
      <c r="D97" s="17">
        <f>D96-$B$100/4</f>
        <v>-1.5</v>
      </c>
      <c r="E97" s="16">
        <f>D96</f>
        <v>0</v>
      </c>
      <c r="F97" s="17">
        <f>F96-$B$100/4</f>
        <v>1.5</v>
      </c>
      <c r="G97" s="17">
        <f>G96-$B$100/4</f>
        <v>3</v>
      </c>
      <c r="H97" s="15">
        <f>H96-$B$100/4</f>
        <v>4.5</v>
      </c>
      <c r="I97" s="51" t="s">
        <v>65</v>
      </c>
    </row>
    <row r="98" spans="1:9" ht="17.25" customHeight="1">
      <c r="A98" s="20"/>
      <c r="B98" s="19"/>
      <c r="C98" s="18" t="s">
        <v>11</v>
      </c>
      <c r="D98" s="17">
        <f>D97-$B$100/4</f>
        <v>-3</v>
      </c>
      <c r="E98" s="17">
        <f>E97-$B$100/4</f>
        <v>-1.5</v>
      </c>
      <c r="F98" s="16">
        <f>D96</f>
        <v>0</v>
      </c>
      <c r="G98" s="17">
        <f>G97-$B$100/4</f>
        <v>1.5</v>
      </c>
      <c r="H98" s="15">
        <f>H97-$B$100/4</f>
        <v>3</v>
      </c>
      <c r="I98" s="51" t="s">
        <v>64</v>
      </c>
    </row>
    <row r="99" spans="1:9" ht="17.25" customHeight="1">
      <c r="A99" s="20"/>
      <c r="B99" s="19"/>
      <c r="C99" s="18" t="s">
        <v>10</v>
      </c>
      <c r="D99" s="17">
        <f>D98-$B$100/4</f>
        <v>-4.5</v>
      </c>
      <c r="E99" s="17">
        <f>E98-$B$100/4</f>
        <v>-3</v>
      </c>
      <c r="F99" s="17">
        <f>F98-$B$100/4</f>
        <v>-1.5</v>
      </c>
      <c r="G99" s="16">
        <f>D96</f>
        <v>0</v>
      </c>
      <c r="H99" s="15">
        <f>H98-$B$100/4</f>
        <v>1.5</v>
      </c>
      <c r="I99" s="30" t="s">
        <v>63</v>
      </c>
    </row>
    <row r="100" spans="1:9" ht="17.25" customHeight="1" thickBot="1">
      <c r="A100" s="20"/>
      <c r="B100" s="40">
        <v>6</v>
      </c>
      <c r="C100" s="39" t="s">
        <v>9</v>
      </c>
      <c r="D100" s="44">
        <f>D99-$B$100/4</f>
        <v>-6</v>
      </c>
      <c r="E100" s="44">
        <f>E99-$B$100/4</f>
        <v>-4.5</v>
      </c>
      <c r="F100" s="44">
        <f>F99-$B$100/4</f>
        <v>-3</v>
      </c>
      <c r="G100" s="44">
        <f>G99-$B$100/4</f>
        <v>-1.5</v>
      </c>
      <c r="H100" s="37">
        <f>D96</f>
        <v>0</v>
      </c>
      <c r="I100" s="30"/>
    </row>
    <row r="101" spans="1:9" ht="17.25" customHeight="1">
      <c r="A101" s="20"/>
      <c r="B101" s="35" t="s">
        <v>62</v>
      </c>
      <c r="C101" s="34" t="s">
        <v>16</v>
      </c>
      <c r="D101" s="33" t="s">
        <v>13</v>
      </c>
      <c r="E101" s="33" t="s">
        <v>9</v>
      </c>
      <c r="F101" s="53"/>
      <c r="G101" s="33"/>
      <c r="H101" s="32"/>
      <c r="I101" s="31" t="s">
        <v>61</v>
      </c>
    </row>
    <row r="102" spans="1:9" ht="17.25" customHeight="1">
      <c r="A102" s="20"/>
      <c r="B102" s="19" t="s">
        <v>60</v>
      </c>
      <c r="C102" s="23" t="s">
        <v>14</v>
      </c>
      <c r="D102" s="22"/>
      <c r="E102" s="22"/>
      <c r="F102" s="52"/>
      <c r="G102" s="22"/>
      <c r="H102" s="21"/>
      <c r="I102" s="51" t="s">
        <v>59</v>
      </c>
    </row>
    <row r="103" spans="1:9" ht="17.25" customHeight="1">
      <c r="A103" s="20"/>
      <c r="B103" s="19" t="s">
        <v>58</v>
      </c>
      <c r="C103" s="18" t="s">
        <v>13</v>
      </c>
      <c r="D103" s="16">
        <v>0</v>
      </c>
      <c r="E103" s="16">
        <f>D103+$B$107</f>
        <v>1</v>
      </c>
      <c r="F103" s="50"/>
      <c r="G103" s="17"/>
      <c r="H103" s="43"/>
      <c r="I103" s="30" t="s">
        <v>57</v>
      </c>
    </row>
    <row r="104" spans="1:9" ht="17.25" customHeight="1">
      <c r="A104" s="20"/>
      <c r="B104" s="19" t="s">
        <v>56</v>
      </c>
      <c r="C104" s="18" t="s">
        <v>9</v>
      </c>
      <c r="D104" s="16">
        <f>D103-$B$107</f>
        <v>-1</v>
      </c>
      <c r="E104" s="16">
        <f>D103</f>
        <v>0</v>
      </c>
      <c r="F104" s="17"/>
      <c r="G104" s="17"/>
      <c r="H104" s="15"/>
      <c r="I104" s="30"/>
    </row>
    <row r="105" spans="1:9" ht="17.25" customHeight="1">
      <c r="A105" s="20"/>
      <c r="B105" s="19" t="s">
        <v>55</v>
      </c>
      <c r="C105" s="49"/>
      <c r="D105" s="48"/>
      <c r="E105" s="17"/>
      <c r="F105" s="16"/>
      <c r="G105" s="17"/>
      <c r="H105" s="15"/>
      <c r="I105" s="30"/>
    </row>
    <row r="106" spans="1:9" ht="17.25" customHeight="1">
      <c r="A106" s="20"/>
      <c r="B106" s="19"/>
      <c r="C106" s="18"/>
      <c r="D106" s="17"/>
      <c r="E106" s="17"/>
      <c r="F106" s="17"/>
      <c r="G106" s="16"/>
      <c r="H106" s="15"/>
      <c r="I106" s="30"/>
    </row>
    <row r="107" spans="1:9" ht="17.25" customHeight="1" thickBot="1">
      <c r="A107" s="13"/>
      <c r="B107" s="12">
        <v>1</v>
      </c>
      <c r="C107" s="11"/>
      <c r="D107" s="10"/>
      <c r="E107" s="9"/>
      <c r="F107" s="9"/>
      <c r="G107" s="9"/>
      <c r="H107" s="8"/>
      <c r="I107" s="29"/>
    </row>
    <row r="108" spans="1:9" ht="17.25" customHeight="1" thickTop="1">
      <c r="A108" s="28" t="s">
        <v>54</v>
      </c>
      <c r="B108" s="19" t="s">
        <v>53</v>
      </c>
      <c r="C108" s="27" t="s">
        <v>16</v>
      </c>
      <c r="D108" s="26" t="s">
        <v>13</v>
      </c>
      <c r="E108" s="26" t="s">
        <v>46</v>
      </c>
      <c r="F108" s="26" t="s">
        <v>44</v>
      </c>
      <c r="G108" s="26"/>
      <c r="H108" s="25"/>
      <c r="I108" s="47" t="s">
        <v>52</v>
      </c>
    </row>
    <row r="109" spans="1:9" ht="17.25" customHeight="1">
      <c r="A109" s="20"/>
      <c r="B109" s="19" t="s">
        <v>51</v>
      </c>
      <c r="C109" s="23" t="s">
        <v>14</v>
      </c>
      <c r="D109" s="22"/>
      <c r="E109" s="22"/>
      <c r="F109" s="22"/>
      <c r="G109" s="22"/>
      <c r="H109" s="21"/>
      <c r="I109" s="47" t="s">
        <v>50</v>
      </c>
    </row>
    <row r="110" spans="1:9" ht="17.25" customHeight="1">
      <c r="A110" s="20"/>
      <c r="B110" s="19" t="s">
        <v>49</v>
      </c>
      <c r="C110" s="18" t="s">
        <v>13</v>
      </c>
      <c r="D110" s="16">
        <v>0</v>
      </c>
      <c r="E110" s="16">
        <f>D110+$B$114/2</f>
        <v>4</v>
      </c>
      <c r="F110" s="16">
        <f>E110+$B$114/2</f>
        <v>8</v>
      </c>
      <c r="G110" s="17"/>
      <c r="H110" s="43"/>
      <c r="I110" s="47" t="s">
        <v>48</v>
      </c>
    </row>
    <row r="111" spans="1:9" ht="17.25" customHeight="1">
      <c r="A111" s="20"/>
      <c r="B111" s="19" t="s">
        <v>47</v>
      </c>
      <c r="C111" s="18" t="s">
        <v>46</v>
      </c>
      <c r="D111" s="16">
        <f>D110-$B$114/2</f>
        <v>-4</v>
      </c>
      <c r="E111" s="16">
        <f>D110</f>
        <v>0</v>
      </c>
      <c r="F111" s="16">
        <f>F110-$B$114/2</f>
        <v>4</v>
      </c>
      <c r="G111" s="17"/>
      <c r="H111" s="15"/>
      <c r="I111" s="30"/>
    </row>
    <row r="112" spans="1:9" ht="17.25" customHeight="1">
      <c r="A112" s="20"/>
      <c r="B112" s="19" t="s">
        <v>45</v>
      </c>
      <c r="C112" s="18" t="s">
        <v>44</v>
      </c>
      <c r="D112" s="16">
        <f>D111-$B$114/2</f>
        <v>-8</v>
      </c>
      <c r="E112" s="16">
        <f>E111-$B$114/2</f>
        <v>-4</v>
      </c>
      <c r="F112" s="16">
        <f>D110</f>
        <v>0</v>
      </c>
      <c r="G112" s="17"/>
      <c r="H112" s="15"/>
      <c r="I112" s="30"/>
    </row>
    <row r="113" spans="1:10" ht="17.25" customHeight="1">
      <c r="A113" s="20"/>
      <c r="B113" s="19"/>
      <c r="C113" s="18"/>
      <c r="D113" s="17"/>
      <c r="E113" s="17"/>
      <c r="F113" s="17"/>
      <c r="G113" s="16"/>
      <c r="H113" s="15"/>
      <c r="I113" s="46"/>
    </row>
    <row r="114" spans="1:10" ht="17.25" customHeight="1" thickBot="1">
      <c r="A114" s="20"/>
      <c r="B114" s="40">
        <v>8</v>
      </c>
      <c r="C114" s="39"/>
      <c r="D114" s="38"/>
      <c r="E114" s="44"/>
      <c r="F114" s="44"/>
      <c r="G114" s="44"/>
      <c r="H114" s="37"/>
      <c r="I114" s="45"/>
    </row>
    <row r="115" spans="1:10" ht="17.25" customHeight="1">
      <c r="A115" s="20"/>
      <c r="B115" s="35" t="s">
        <v>19</v>
      </c>
      <c r="C115" s="34" t="s">
        <v>16</v>
      </c>
      <c r="D115" s="33" t="s">
        <v>13</v>
      </c>
      <c r="E115" s="33" t="s">
        <v>12</v>
      </c>
      <c r="F115" s="33" t="s">
        <v>11</v>
      </c>
      <c r="G115" s="33" t="s">
        <v>10</v>
      </c>
      <c r="H115" s="32" t="s">
        <v>9</v>
      </c>
      <c r="I115" s="31" t="s">
        <v>43</v>
      </c>
    </row>
    <row r="116" spans="1:10" ht="17.25" customHeight="1">
      <c r="A116" s="20"/>
      <c r="B116" s="19" t="s">
        <v>42</v>
      </c>
      <c r="C116" s="23" t="s">
        <v>14</v>
      </c>
      <c r="D116" s="22"/>
      <c r="E116" s="22"/>
      <c r="F116" s="22"/>
      <c r="G116" s="22"/>
      <c r="H116" s="21"/>
      <c r="I116" s="30" t="s">
        <v>41</v>
      </c>
    </row>
    <row r="117" spans="1:10" ht="17.25" customHeight="1">
      <c r="A117" s="20"/>
      <c r="B117" s="19" t="s">
        <v>32</v>
      </c>
      <c r="C117" s="18" t="s">
        <v>13</v>
      </c>
      <c r="D117" s="16">
        <v>0</v>
      </c>
      <c r="E117" s="17">
        <f>D117+$B$121/4</f>
        <v>2.5</v>
      </c>
      <c r="F117" s="17">
        <f>E117+$B$121/4</f>
        <v>5</v>
      </c>
      <c r="G117" s="17">
        <f>F117+$B$121/4</f>
        <v>7.5</v>
      </c>
      <c r="H117" s="15">
        <f>G117+$B$121/4</f>
        <v>10</v>
      </c>
      <c r="I117" s="30" t="s">
        <v>40</v>
      </c>
    </row>
    <row r="118" spans="1:10" ht="17.25" customHeight="1">
      <c r="A118" s="20"/>
      <c r="B118" s="19"/>
      <c r="C118" s="18" t="s">
        <v>12</v>
      </c>
      <c r="D118" s="17">
        <f>D117-$B$121/4</f>
        <v>-2.5</v>
      </c>
      <c r="E118" s="16">
        <f>D117</f>
        <v>0</v>
      </c>
      <c r="F118" s="17">
        <f>F117-$B$121/4</f>
        <v>2.5</v>
      </c>
      <c r="G118" s="17">
        <f>G117-$B$121/4</f>
        <v>5</v>
      </c>
      <c r="H118" s="15">
        <f>H117-$B$121/4</f>
        <v>7.5</v>
      </c>
      <c r="I118" s="30" t="s">
        <v>39</v>
      </c>
    </row>
    <row r="119" spans="1:10" ht="17.25" customHeight="1">
      <c r="A119" s="20"/>
      <c r="B119" s="19"/>
      <c r="C119" s="18" t="s">
        <v>11</v>
      </c>
      <c r="D119" s="17">
        <f>D118-$B$121/4</f>
        <v>-5</v>
      </c>
      <c r="E119" s="17">
        <f>E118-$B$121/4</f>
        <v>-2.5</v>
      </c>
      <c r="F119" s="16">
        <f>D117</f>
        <v>0</v>
      </c>
      <c r="G119" s="17">
        <f>G118-$B$121/4</f>
        <v>2.5</v>
      </c>
      <c r="H119" s="15">
        <f>H118-$B$121/4</f>
        <v>5</v>
      </c>
      <c r="I119" s="30" t="s">
        <v>38</v>
      </c>
    </row>
    <row r="120" spans="1:10" ht="17.25" customHeight="1">
      <c r="A120" s="20"/>
      <c r="B120" s="19"/>
      <c r="C120" s="18" t="s">
        <v>10</v>
      </c>
      <c r="D120" s="17">
        <f>D119-$B$121/4</f>
        <v>-7.5</v>
      </c>
      <c r="E120" s="17">
        <f>E119-$B$121/4</f>
        <v>-5</v>
      </c>
      <c r="F120" s="17">
        <f>F119-$B$121/4</f>
        <v>-2.5</v>
      </c>
      <c r="G120" s="16">
        <f>D117</f>
        <v>0</v>
      </c>
      <c r="H120" s="15">
        <f>H119-$B$121/4</f>
        <v>2.5</v>
      </c>
      <c r="I120" s="30"/>
    </row>
    <row r="121" spans="1:10" ht="17.25" customHeight="1" thickBot="1">
      <c r="A121" s="20"/>
      <c r="B121" s="40">
        <v>10</v>
      </c>
      <c r="C121" s="39" t="s">
        <v>9</v>
      </c>
      <c r="D121" s="44">
        <f>D120-$B$121/4</f>
        <v>-10</v>
      </c>
      <c r="E121" s="44">
        <f>E120-$B$121/4</f>
        <v>-7.5</v>
      </c>
      <c r="F121" s="44">
        <f>F120-$B$121/4</f>
        <v>-5</v>
      </c>
      <c r="G121" s="44">
        <f>G120-$B$121/4</f>
        <v>-2.5</v>
      </c>
      <c r="H121" s="37">
        <f>D117</f>
        <v>0</v>
      </c>
      <c r="I121" s="36"/>
    </row>
    <row r="122" spans="1:10" ht="17.25" customHeight="1">
      <c r="A122" s="20"/>
      <c r="B122" s="35" t="s">
        <v>37</v>
      </c>
      <c r="C122" s="34" t="s">
        <v>16</v>
      </c>
      <c r="D122" s="33" t="s">
        <v>36</v>
      </c>
      <c r="E122" s="33" t="s">
        <v>12</v>
      </c>
      <c r="F122" s="33" t="s">
        <v>11</v>
      </c>
      <c r="G122" s="33" t="s">
        <v>10</v>
      </c>
      <c r="H122" s="32" t="s">
        <v>9</v>
      </c>
      <c r="I122" s="31" t="s">
        <v>35</v>
      </c>
    </row>
    <row r="123" spans="1:10" ht="17.25" customHeight="1">
      <c r="A123" s="20"/>
      <c r="B123" s="19" t="s">
        <v>34</v>
      </c>
      <c r="C123" s="23" t="s">
        <v>14</v>
      </c>
      <c r="D123" s="22"/>
      <c r="E123" s="22"/>
      <c r="F123" s="22"/>
      <c r="G123" s="22"/>
      <c r="H123" s="21"/>
      <c r="I123" s="30" t="s">
        <v>33</v>
      </c>
    </row>
    <row r="124" spans="1:10" ht="17.25" customHeight="1">
      <c r="A124" s="20"/>
      <c r="B124" s="19" t="s">
        <v>32</v>
      </c>
      <c r="C124" s="18" t="s">
        <v>13</v>
      </c>
      <c r="D124" s="16">
        <v>0</v>
      </c>
      <c r="E124" s="16">
        <f>D124+$B$128/4</f>
        <v>5</v>
      </c>
      <c r="F124" s="16">
        <f>E124+$B$128/4</f>
        <v>10</v>
      </c>
      <c r="G124" s="16">
        <f>F124+$B$128/4</f>
        <v>15</v>
      </c>
      <c r="H124" s="43">
        <f>G124+$B$128/4</f>
        <v>20</v>
      </c>
      <c r="I124" s="30" t="s">
        <v>31</v>
      </c>
    </row>
    <row r="125" spans="1:10" ht="17.25" customHeight="1">
      <c r="A125" s="20"/>
      <c r="B125" s="19"/>
      <c r="C125" s="18" t="s">
        <v>12</v>
      </c>
      <c r="D125" s="16">
        <f>D124-$B$128/4</f>
        <v>-5</v>
      </c>
      <c r="E125" s="16">
        <f>D124</f>
        <v>0</v>
      </c>
      <c r="F125" s="16">
        <f>F124-$B$128/4</f>
        <v>5</v>
      </c>
      <c r="G125" s="16">
        <f>G124-$B$128/4</f>
        <v>10</v>
      </c>
      <c r="H125" s="43">
        <f>H124-$B$128/4</f>
        <v>15</v>
      </c>
      <c r="I125" s="30" t="s">
        <v>30</v>
      </c>
    </row>
    <row r="126" spans="1:10" ht="17.25" customHeight="1">
      <c r="A126" s="20"/>
      <c r="B126" s="19"/>
      <c r="C126" s="18" t="s">
        <v>11</v>
      </c>
      <c r="D126" s="16">
        <f>D125-$B$128/4</f>
        <v>-10</v>
      </c>
      <c r="E126" s="16">
        <f>E125-$B$128/4</f>
        <v>-5</v>
      </c>
      <c r="F126" s="16">
        <f>D124</f>
        <v>0</v>
      </c>
      <c r="G126" s="16">
        <f>G125-$B$128/4</f>
        <v>5</v>
      </c>
      <c r="H126" s="43">
        <f>H125-$B$128/4</f>
        <v>10</v>
      </c>
      <c r="I126" s="30" t="s">
        <v>29</v>
      </c>
    </row>
    <row r="127" spans="1:10" ht="17.25" customHeight="1">
      <c r="A127" s="20"/>
      <c r="B127" s="19"/>
      <c r="C127" s="18" t="s">
        <v>10</v>
      </c>
      <c r="D127" s="16">
        <f>D126-$B$128/4</f>
        <v>-15</v>
      </c>
      <c r="E127" s="16">
        <f>E126-$B$128/4</f>
        <v>-10</v>
      </c>
      <c r="F127" s="16">
        <f>F126-$B$128/4</f>
        <v>-5</v>
      </c>
      <c r="G127" s="16">
        <f>D124</f>
        <v>0</v>
      </c>
      <c r="H127" s="43">
        <f>H126-$B$128/4</f>
        <v>5</v>
      </c>
      <c r="I127" s="30"/>
      <c r="J127" s="42"/>
    </row>
    <row r="128" spans="1:10" ht="17.25" customHeight="1" thickBot="1">
      <c r="A128" s="41"/>
      <c r="B128" s="40">
        <v>20</v>
      </c>
      <c r="C128" s="39" t="s">
        <v>9</v>
      </c>
      <c r="D128" s="38">
        <f>D127-$B$128/4</f>
        <v>-20</v>
      </c>
      <c r="E128" s="38">
        <f>E127-$B$128/4</f>
        <v>-15</v>
      </c>
      <c r="F128" s="38">
        <f>F127-$B$128/4</f>
        <v>-10</v>
      </c>
      <c r="G128" s="38">
        <f>G127-$B$128/4</f>
        <v>-5</v>
      </c>
      <c r="H128" s="37">
        <f>D124</f>
        <v>0</v>
      </c>
      <c r="I128" s="36"/>
    </row>
    <row r="129" spans="1:9" ht="17.25" customHeight="1">
      <c r="A129" s="20" t="s">
        <v>28</v>
      </c>
      <c r="B129" s="35" t="s">
        <v>27</v>
      </c>
      <c r="C129" s="34" t="s">
        <v>16</v>
      </c>
      <c r="D129" s="33" t="s">
        <v>13</v>
      </c>
      <c r="E129" s="33" t="s">
        <v>12</v>
      </c>
      <c r="F129" s="33" t="s">
        <v>11</v>
      </c>
      <c r="G129" s="33" t="s">
        <v>10</v>
      </c>
      <c r="H129" s="32" t="s">
        <v>9</v>
      </c>
      <c r="I129" s="31" t="s">
        <v>26</v>
      </c>
    </row>
    <row r="130" spans="1:9" ht="17.25" customHeight="1">
      <c r="A130" s="20"/>
      <c r="B130" s="19" t="s">
        <v>25</v>
      </c>
      <c r="C130" s="23" t="s">
        <v>14</v>
      </c>
      <c r="D130" s="22"/>
      <c r="E130" s="22"/>
      <c r="F130" s="22"/>
      <c r="G130" s="22"/>
      <c r="H130" s="21"/>
      <c r="I130" s="30" t="s">
        <v>24</v>
      </c>
    </row>
    <row r="131" spans="1:9" ht="17.25" customHeight="1">
      <c r="A131" s="20"/>
      <c r="B131" s="19" t="s">
        <v>23</v>
      </c>
      <c r="C131" s="18" t="s">
        <v>13</v>
      </c>
      <c r="D131" s="16">
        <v>0</v>
      </c>
      <c r="E131" s="17">
        <f>D131+$B$135/4</f>
        <v>7.5</v>
      </c>
      <c r="F131" s="17">
        <f>E131+$B$135/4</f>
        <v>15</v>
      </c>
      <c r="G131" s="17">
        <f>F131+$B$135/4</f>
        <v>22.5</v>
      </c>
      <c r="H131" s="15">
        <f>G131+$B$135/4</f>
        <v>30</v>
      </c>
      <c r="I131" s="30" t="s">
        <v>22</v>
      </c>
    </row>
    <row r="132" spans="1:9" ht="17.25" customHeight="1">
      <c r="A132" s="20"/>
      <c r="B132" s="19" t="s">
        <v>21</v>
      </c>
      <c r="C132" s="18" t="s">
        <v>12</v>
      </c>
      <c r="D132" s="17">
        <f>D131-$B$135/4</f>
        <v>-7.5</v>
      </c>
      <c r="E132" s="16">
        <f>D131</f>
        <v>0</v>
      </c>
      <c r="F132" s="17">
        <f>F131-$B$135/4</f>
        <v>7.5</v>
      </c>
      <c r="G132" s="17">
        <f>G131-$B$135/4</f>
        <v>15</v>
      </c>
      <c r="H132" s="15">
        <f>H131-$B$135/4</f>
        <v>22.5</v>
      </c>
      <c r="I132" s="30" t="s">
        <v>20</v>
      </c>
    </row>
    <row r="133" spans="1:9" ht="17.25" customHeight="1">
      <c r="A133" s="20"/>
      <c r="B133" s="19" t="s">
        <v>19</v>
      </c>
      <c r="C133" s="18" t="s">
        <v>11</v>
      </c>
      <c r="D133" s="17">
        <f>D132-$B$135/4</f>
        <v>-15</v>
      </c>
      <c r="E133" s="17">
        <f>E132-$B$135/4</f>
        <v>-7.5</v>
      </c>
      <c r="F133" s="16">
        <f>D131</f>
        <v>0</v>
      </c>
      <c r="G133" s="17">
        <f>G132-$B$135/4</f>
        <v>7.5</v>
      </c>
      <c r="H133" s="15">
        <f>H132-$B$135/4</f>
        <v>15</v>
      </c>
      <c r="I133" s="30" t="s">
        <v>18</v>
      </c>
    </row>
    <row r="134" spans="1:9" ht="17.25" customHeight="1">
      <c r="A134" s="20"/>
      <c r="B134" s="19"/>
      <c r="C134" s="18" t="s">
        <v>10</v>
      </c>
      <c r="D134" s="17">
        <f>D133-$B$135/4</f>
        <v>-22.5</v>
      </c>
      <c r="E134" s="17">
        <f>E133-$B$135/4</f>
        <v>-15</v>
      </c>
      <c r="F134" s="17">
        <f>F133-$B$135/4</f>
        <v>-7.5</v>
      </c>
      <c r="G134" s="16">
        <f>D131</f>
        <v>0</v>
      </c>
      <c r="H134" s="15">
        <f>H133-$B$135/4</f>
        <v>7.5</v>
      </c>
      <c r="I134" s="30"/>
    </row>
    <row r="135" spans="1:9" ht="17.25" customHeight="1" thickBot="1">
      <c r="A135" s="13"/>
      <c r="B135" s="12">
        <v>30</v>
      </c>
      <c r="C135" s="11" t="s">
        <v>9</v>
      </c>
      <c r="D135" s="9">
        <f>D134-$B$135/4</f>
        <v>-30</v>
      </c>
      <c r="E135" s="9">
        <f>E134-$B$135/4</f>
        <v>-22.5</v>
      </c>
      <c r="F135" s="9">
        <f>F134-$B$135/4</f>
        <v>-15</v>
      </c>
      <c r="G135" s="9">
        <f>G134-$B$135/4</f>
        <v>-7.5</v>
      </c>
      <c r="H135" s="8">
        <f>D131</f>
        <v>0</v>
      </c>
      <c r="I135" s="29"/>
    </row>
    <row r="136" spans="1:9" ht="17.25" customHeight="1" thickTop="1">
      <c r="A136" s="28" t="s">
        <v>17</v>
      </c>
      <c r="B136" s="19"/>
      <c r="C136" s="27" t="s">
        <v>16</v>
      </c>
      <c r="D136" s="26" t="s">
        <v>13</v>
      </c>
      <c r="E136" s="26" t="s">
        <v>12</v>
      </c>
      <c r="F136" s="26" t="s">
        <v>11</v>
      </c>
      <c r="G136" s="26" t="s">
        <v>10</v>
      </c>
      <c r="H136" s="25" t="s">
        <v>9</v>
      </c>
      <c r="I136" s="24" t="s">
        <v>15</v>
      </c>
    </row>
    <row r="137" spans="1:9" ht="17.25" customHeight="1">
      <c r="A137" s="20"/>
      <c r="B137" s="19"/>
      <c r="C137" s="23" t="s">
        <v>14</v>
      </c>
      <c r="D137" s="22"/>
      <c r="E137" s="22"/>
      <c r="F137" s="22"/>
      <c r="G137" s="22"/>
      <c r="H137" s="21"/>
      <c r="I137" s="14"/>
    </row>
    <row r="138" spans="1:9" ht="17.25" customHeight="1">
      <c r="A138" s="20"/>
      <c r="B138" s="19"/>
      <c r="C138" s="18" t="s">
        <v>13</v>
      </c>
      <c r="D138" s="16">
        <v>0</v>
      </c>
      <c r="E138" s="17">
        <f>D138+$B$142/4</f>
        <v>7.5</v>
      </c>
      <c r="F138" s="17">
        <f>E138+$B$142/4</f>
        <v>15</v>
      </c>
      <c r="G138" s="17">
        <f>F138+$B$142/4</f>
        <v>22.5</v>
      </c>
      <c r="H138" s="15">
        <f>G138+$B$142/4</f>
        <v>30</v>
      </c>
      <c r="I138" s="14"/>
    </row>
    <row r="139" spans="1:9" ht="17.25" customHeight="1">
      <c r="A139" s="20"/>
      <c r="B139" s="19"/>
      <c r="C139" s="18" t="s">
        <v>12</v>
      </c>
      <c r="D139" s="17">
        <f>D138-$B$142/4</f>
        <v>-7.5</v>
      </c>
      <c r="E139" s="16">
        <f>D138</f>
        <v>0</v>
      </c>
      <c r="F139" s="17">
        <f>F138-$B$142/4</f>
        <v>7.5</v>
      </c>
      <c r="G139" s="17">
        <f>G138-$B$142/4</f>
        <v>15</v>
      </c>
      <c r="H139" s="15">
        <f>G139+$B$142/4</f>
        <v>22.5</v>
      </c>
      <c r="I139" s="14"/>
    </row>
    <row r="140" spans="1:9" ht="17.25" customHeight="1">
      <c r="A140" s="20"/>
      <c r="B140" s="19"/>
      <c r="C140" s="18" t="s">
        <v>11</v>
      </c>
      <c r="D140" s="17">
        <f>D139-$B$142/4</f>
        <v>-15</v>
      </c>
      <c r="E140" s="17">
        <f>E139-$B$142/4</f>
        <v>-7.5</v>
      </c>
      <c r="F140" s="16">
        <f>D138</f>
        <v>0</v>
      </c>
      <c r="G140" s="17">
        <f>G139-$B$142/4</f>
        <v>7.5</v>
      </c>
      <c r="H140" s="15">
        <f>G140+$B$142/4</f>
        <v>15</v>
      </c>
      <c r="I140" s="14"/>
    </row>
    <row r="141" spans="1:9" ht="17.25" customHeight="1">
      <c r="A141" s="20"/>
      <c r="B141" s="19"/>
      <c r="C141" s="18" t="s">
        <v>10</v>
      </c>
      <c r="D141" s="17">
        <f>D140-$B$142/4</f>
        <v>-22.5</v>
      </c>
      <c r="E141" s="17">
        <f>E140-$B$142/4</f>
        <v>-15</v>
      </c>
      <c r="F141" s="17">
        <f>F140-$B$142/4</f>
        <v>-7.5</v>
      </c>
      <c r="G141" s="16">
        <f>D138</f>
        <v>0</v>
      </c>
      <c r="H141" s="15">
        <f>G141+$B$142/4</f>
        <v>7.5</v>
      </c>
      <c r="I141" s="14"/>
    </row>
    <row r="142" spans="1:9" ht="17.25" customHeight="1" thickBot="1">
      <c r="A142" s="13"/>
      <c r="B142" s="12">
        <v>30</v>
      </c>
      <c r="C142" s="11" t="s">
        <v>9</v>
      </c>
      <c r="D142" s="10">
        <f>D141-$B$142/4</f>
        <v>-30</v>
      </c>
      <c r="E142" s="9">
        <f>E141-$B$142/4</f>
        <v>-22.5</v>
      </c>
      <c r="F142" s="9">
        <f>F141-$B$142/4</f>
        <v>-15</v>
      </c>
      <c r="G142" s="9">
        <f>G141-$B$142/4</f>
        <v>-7.5</v>
      </c>
      <c r="H142" s="8">
        <f>D138</f>
        <v>0</v>
      </c>
      <c r="I142" s="7"/>
    </row>
    <row r="143" spans="1:9" ht="17.25" customHeight="1" thickTop="1">
      <c r="A143" s="6" t="s">
        <v>8</v>
      </c>
      <c r="B143" s="6"/>
    </row>
    <row r="144" spans="1:9" s="3" customFormat="1" ht="17.25" customHeight="1">
      <c r="A144" s="5" t="s">
        <v>7</v>
      </c>
      <c r="B144" s="5"/>
      <c r="C144" s="5"/>
      <c r="D144" s="5"/>
      <c r="E144" s="5"/>
      <c r="F144" s="5"/>
      <c r="G144" s="5"/>
      <c r="H144" s="5"/>
      <c r="I144" s="5"/>
    </row>
    <row r="145" spans="1:9" s="3" customFormat="1" ht="17.25" customHeight="1">
      <c r="A145" s="5" t="s">
        <v>6</v>
      </c>
      <c r="B145" s="5"/>
      <c r="C145" s="5"/>
      <c r="D145" s="5"/>
      <c r="E145" s="5"/>
      <c r="F145" s="5"/>
      <c r="G145" s="5"/>
      <c r="H145" s="5"/>
      <c r="I145" s="5"/>
    </row>
    <row r="146" spans="1:9" s="3" customFormat="1" ht="17.25" customHeight="1">
      <c r="A146" s="5" t="s">
        <v>5</v>
      </c>
      <c r="B146" s="5"/>
      <c r="C146" s="5"/>
      <c r="D146" s="5"/>
      <c r="E146" s="5"/>
      <c r="F146" s="5"/>
      <c r="G146" s="5"/>
      <c r="H146" s="5"/>
      <c r="I146" s="5"/>
    </row>
    <row r="147" spans="1:9" s="3" customFormat="1" ht="34.5" customHeight="1">
      <c r="A147" s="5" t="s">
        <v>4</v>
      </c>
      <c r="B147" s="5"/>
      <c r="C147" s="5"/>
      <c r="D147" s="5"/>
      <c r="E147" s="5"/>
      <c r="F147" s="5"/>
      <c r="G147" s="5"/>
      <c r="H147" s="5"/>
      <c r="I147" s="5"/>
    </row>
    <row r="148" spans="1:9" s="3" customFormat="1" ht="17.25" customHeight="1">
      <c r="A148" s="5" t="s">
        <v>3</v>
      </c>
      <c r="B148" s="5"/>
      <c r="C148" s="5"/>
      <c r="D148" s="5"/>
      <c r="E148" s="5"/>
      <c r="F148" s="5"/>
      <c r="G148" s="5"/>
      <c r="H148" s="5"/>
      <c r="I148" s="5"/>
    </row>
    <row r="149" spans="1:9" s="3" customFormat="1" ht="17.25" customHeight="1">
      <c r="A149" s="5" t="s">
        <v>2</v>
      </c>
      <c r="B149" s="5"/>
      <c r="C149" s="5"/>
      <c r="D149" s="5"/>
      <c r="E149" s="5"/>
      <c r="F149" s="5"/>
      <c r="G149" s="5"/>
      <c r="H149" s="5"/>
      <c r="I149" s="5"/>
    </row>
    <row r="150" spans="1:9" s="3" customFormat="1" ht="17.25" customHeight="1">
      <c r="A150" s="5" t="s">
        <v>1</v>
      </c>
      <c r="B150" s="5"/>
      <c r="C150" s="5"/>
      <c r="D150" s="5"/>
      <c r="E150" s="5"/>
      <c r="F150" s="5"/>
      <c r="G150" s="5"/>
      <c r="H150" s="5"/>
      <c r="I150" s="5"/>
    </row>
    <row r="151" spans="1:9" s="3" customFormat="1" ht="34.5" customHeight="1">
      <c r="A151" s="5" t="s">
        <v>0</v>
      </c>
      <c r="B151" s="4"/>
      <c r="C151" s="4"/>
      <c r="D151" s="4"/>
      <c r="E151" s="4"/>
      <c r="F151" s="4"/>
      <c r="G151" s="4"/>
      <c r="H151" s="4"/>
      <c r="I151" s="4"/>
    </row>
  </sheetData>
  <mergeCells count="126">
    <mergeCell ref="A148:I148"/>
    <mergeCell ref="A149:I149"/>
    <mergeCell ref="A150:I150"/>
    <mergeCell ref="A151:I151"/>
    <mergeCell ref="I136:I142"/>
    <mergeCell ref="A143:B143"/>
    <mergeCell ref="A144:I144"/>
    <mergeCell ref="A145:I145"/>
    <mergeCell ref="A146:I146"/>
    <mergeCell ref="A147:I147"/>
    <mergeCell ref="A136:A142"/>
    <mergeCell ref="D136:D137"/>
    <mergeCell ref="E136:E137"/>
    <mergeCell ref="F136:F137"/>
    <mergeCell ref="G136:G137"/>
    <mergeCell ref="H136:H137"/>
    <mergeCell ref="A129:A135"/>
    <mergeCell ref="D129:D130"/>
    <mergeCell ref="E129:E130"/>
    <mergeCell ref="F129:F130"/>
    <mergeCell ref="G129:G130"/>
    <mergeCell ref="H129:H130"/>
    <mergeCell ref="G115:G116"/>
    <mergeCell ref="H115:H116"/>
    <mergeCell ref="D122:D123"/>
    <mergeCell ref="E122:E123"/>
    <mergeCell ref="F122:F123"/>
    <mergeCell ref="G122:G123"/>
    <mergeCell ref="H122:H123"/>
    <mergeCell ref="H101:H102"/>
    <mergeCell ref="A108:A128"/>
    <mergeCell ref="D108:D109"/>
    <mergeCell ref="E108:E109"/>
    <mergeCell ref="F108:F109"/>
    <mergeCell ref="G108:G109"/>
    <mergeCell ref="H108:H109"/>
    <mergeCell ref="D115:D116"/>
    <mergeCell ref="E115:E116"/>
    <mergeCell ref="F115:F116"/>
    <mergeCell ref="A94:A107"/>
    <mergeCell ref="D94:D95"/>
    <mergeCell ref="E94:E95"/>
    <mergeCell ref="F94:F95"/>
    <mergeCell ref="G94:G95"/>
    <mergeCell ref="H94:H95"/>
    <mergeCell ref="D101:D102"/>
    <mergeCell ref="E101:E102"/>
    <mergeCell ref="F101:F102"/>
    <mergeCell ref="G101:G102"/>
    <mergeCell ref="A87:A93"/>
    <mergeCell ref="D87:D88"/>
    <mergeCell ref="E87:E88"/>
    <mergeCell ref="F87:F88"/>
    <mergeCell ref="G87:G88"/>
    <mergeCell ref="H87:H88"/>
    <mergeCell ref="I73:I74"/>
    <mergeCell ref="D80:D81"/>
    <mergeCell ref="E80:E81"/>
    <mergeCell ref="F80:F81"/>
    <mergeCell ref="G80:G81"/>
    <mergeCell ref="H80:H81"/>
    <mergeCell ref="I80:I81"/>
    <mergeCell ref="H66:H67"/>
    <mergeCell ref="D73:D74"/>
    <mergeCell ref="E73:E74"/>
    <mergeCell ref="F73:F74"/>
    <mergeCell ref="G73:G74"/>
    <mergeCell ref="H73:H74"/>
    <mergeCell ref="A59:A86"/>
    <mergeCell ref="D59:D60"/>
    <mergeCell ref="E59:E60"/>
    <mergeCell ref="F59:F60"/>
    <mergeCell ref="G59:G60"/>
    <mergeCell ref="H59:H60"/>
    <mergeCell ref="D66:D67"/>
    <mergeCell ref="E66:E67"/>
    <mergeCell ref="F66:F67"/>
    <mergeCell ref="G66:G67"/>
    <mergeCell ref="H45:H46"/>
    <mergeCell ref="D52:D53"/>
    <mergeCell ref="E52:E53"/>
    <mergeCell ref="F52:F53"/>
    <mergeCell ref="G52:G53"/>
    <mergeCell ref="H52:H53"/>
    <mergeCell ref="D38:D39"/>
    <mergeCell ref="E38:E39"/>
    <mergeCell ref="F38:F39"/>
    <mergeCell ref="G38:G39"/>
    <mergeCell ref="H38:H39"/>
    <mergeCell ref="A45:A58"/>
    <mergeCell ref="D45:D46"/>
    <mergeCell ref="E45:E46"/>
    <mergeCell ref="F45:F46"/>
    <mergeCell ref="G45:G46"/>
    <mergeCell ref="I24:I26"/>
    <mergeCell ref="D31:D32"/>
    <mergeCell ref="E31:E32"/>
    <mergeCell ref="F31:F32"/>
    <mergeCell ref="G31:G32"/>
    <mergeCell ref="H31:H32"/>
    <mergeCell ref="D17:D18"/>
    <mergeCell ref="E17:E18"/>
    <mergeCell ref="F17:F18"/>
    <mergeCell ref="G17:G18"/>
    <mergeCell ref="H17:H18"/>
    <mergeCell ref="D24:D25"/>
    <mergeCell ref="E24:E25"/>
    <mergeCell ref="F24:F25"/>
    <mergeCell ref="G24:G25"/>
    <mergeCell ref="H24:H25"/>
    <mergeCell ref="H3:H4"/>
    <mergeCell ref="D10:D11"/>
    <mergeCell ref="E10:E11"/>
    <mergeCell ref="F10:F11"/>
    <mergeCell ref="G10:G11"/>
    <mergeCell ref="H10:H11"/>
    <mergeCell ref="A1:A2"/>
    <mergeCell ref="B1:B2"/>
    <mergeCell ref="C1:H1"/>
    <mergeCell ref="I1:I2"/>
    <mergeCell ref="C2:H2"/>
    <mergeCell ref="A3:A44"/>
    <mergeCell ref="D3:D4"/>
    <mergeCell ref="E3:E4"/>
    <mergeCell ref="F3:F4"/>
    <mergeCell ref="G3:G4"/>
  </mergeCells>
  <phoneticPr fontId="2" type="noConversion"/>
  <printOptions horizontalCentered="1"/>
  <pageMargins left="0.19685039370078741" right="0.23622047244094491" top="0.94488188976377963" bottom="0.55118110236220474" header="0.31496062992125984" footer="0.31496062992125984"/>
  <pageSetup paperSize="9" scale="84" fitToHeight="0" orientation="portrait" r:id="rId1"/>
  <headerFooter>
    <oddHeader>&amp;C&amp;"標楷體,粗體"&amp;18&amp;A</oddHeader>
    <oddFooter>&amp;C&amp;"標楷體,標準"第 &amp;P 頁，共 &amp;N 頁-10603修正</oddFooter>
  </headerFooter>
  <rowBreaks count="3" manualBreakCount="3">
    <brk id="44" max="8" man="1"/>
    <brk id="86" max="8" man="1"/>
    <brk id="128"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臺南市南區影響其他用地地價個別因素評價基準明細表(徵收用)</vt:lpstr>
      <vt:lpstr>'臺南市南區影響其他用地地價個別因素評價基準明細表(徵收用)'!Print_Area</vt:lpstr>
      <vt:lpstr>'臺南市南區影響其他用地地價個別因素評價基準明細表(徵收用)'!Print_Titles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葉冠志</dc:creator>
  <cp:lastModifiedBy>葉冠志</cp:lastModifiedBy>
  <dcterms:created xsi:type="dcterms:W3CDTF">2017-06-26T02:06:32Z</dcterms:created>
  <dcterms:modified xsi:type="dcterms:W3CDTF">2017-06-26T02:06:38Z</dcterms:modified>
</cp:coreProperties>
</file>