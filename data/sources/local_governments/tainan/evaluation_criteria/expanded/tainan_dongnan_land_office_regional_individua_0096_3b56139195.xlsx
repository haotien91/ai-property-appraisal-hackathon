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中小規模工業用地區域因素評價基準明細表(徵收用)" sheetId="1" r:id="rId1"/>
  </sheets>
  <definedNames>
    <definedName name="_xlnm.Print_Area" localSheetId="0">'臺南市南區影響中小規模工業用地區域因素評價基準明細表(徵收用)'!$A$1:$J$152</definedName>
    <definedName name="_xlnm.Print_Titles" localSheetId="0">'臺南市南區影響中小規模工業用地區域因素評價基準明細表(徵收用)'!$1:$2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1" l="1"/>
  <c r="D9" i="1"/>
  <c r="E12" i="1"/>
  <c r="E13" i="1" s="1"/>
  <c r="E14" i="1" s="1"/>
  <c r="E15" i="1" s="1"/>
  <c r="E16" i="1" s="1"/>
  <c r="F12" i="1"/>
  <c r="D13" i="1"/>
  <c r="D14" i="1"/>
  <c r="D15" i="1" s="1"/>
  <c r="D16" i="1" s="1"/>
  <c r="E19" i="1"/>
  <c r="F19" i="1"/>
  <c r="G19" i="1" s="1"/>
  <c r="H19" i="1" s="1"/>
  <c r="D20" i="1"/>
  <c r="E20" i="1"/>
  <c r="D21" i="1"/>
  <c r="D22" i="1" s="1"/>
  <c r="F21" i="1"/>
  <c r="G21" i="1"/>
  <c r="H21" i="1"/>
  <c r="F22" i="1"/>
  <c r="G22" i="1"/>
  <c r="D23" i="1"/>
  <c r="F23" i="1"/>
  <c r="H23" i="1"/>
  <c r="E26" i="1"/>
  <c r="F26" i="1" s="1"/>
  <c r="G26" i="1" s="1"/>
  <c r="H26" i="1" s="1"/>
  <c r="D27" i="1"/>
  <c r="E27" i="1"/>
  <c r="D28" i="1"/>
  <c r="D29" i="1" s="1"/>
  <c r="D30" i="1" s="1"/>
  <c r="F28" i="1"/>
  <c r="G28" i="1" s="1"/>
  <c r="H28" i="1" s="1"/>
  <c r="F29" i="1"/>
  <c r="F30" i="1" s="1"/>
  <c r="G29" i="1"/>
  <c r="H30" i="1"/>
  <c r="E33" i="1"/>
  <c r="F33" i="1"/>
  <c r="G33" i="1" s="1"/>
  <c r="H33" i="1"/>
  <c r="D34" i="1"/>
  <c r="E34" i="1"/>
  <c r="F34" i="1" s="1"/>
  <c r="G34" i="1"/>
  <c r="H34" i="1"/>
  <c r="D35" i="1"/>
  <c r="E40" i="1"/>
  <c r="F40" i="1" s="1"/>
  <c r="G40" i="1" s="1"/>
  <c r="H40" i="1" s="1"/>
  <c r="D41" i="1"/>
  <c r="D42" i="1" s="1"/>
  <c r="D43" i="1" s="1"/>
  <c r="D44" i="1" s="1"/>
  <c r="E41" i="1"/>
  <c r="F42" i="1"/>
  <c r="G42" i="1" s="1"/>
  <c r="H42" i="1" s="1"/>
  <c r="F43" i="1"/>
  <c r="F44" i="1" s="1"/>
  <c r="G43" i="1"/>
  <c r="H44" i="1"/>
  <c r="E47" i="1"/>
  <c r="F47" i="1"/>
  <c r="G47" i="1" s="1"/>
  <c r="H47" i="1"/>
  <c r="D48" i="1"/>
  <c r="F48" i="1"/>
  <c r="G48" i="1" s="1"/>
  <c r="H48" i="1"/>
  <c r="D49" i="1"/>
  <c r="D50" i="1" s="1"/>
  <c r="D51" i="1" s="1"/>
  <c r="E49" i="1"/>
  <c r="G49" i="1"/>
  <c r="H49" i="1"/>
  <c r="E50" i="1"/>
  <c r="F50" i="1"/>
  <c r="H50" i="1"/>
  <c r="E51" i="1"/>
  <c r="F51" i="1"/>
  <c r="G51" i="1"/>
  <c r="E54" i="1"/>
  <c r="F54" i="1" s="1"/>
  <c r="G54" i="1" s="1"/>
  <c r="H54" i="1" s="1"/>
  <c r="D55" i="1"/>
  <c r="D56" i="1" s="1"/>
  <c r="D57" i="1" s="1"/>
  <c r="D58" i="1" s="1"/>
  <c r="F55" i="1"/>
  <c r="G55" i="1" s="1"/>
  <c r="H55" i="1" s="1"/>
  <c r="E56" i="1"/>
  <c r="E57" i="1" s="1"/>
  <c r="E58" i="1" s="1"/>
  <c r="G56" i="1"/>
  <c r="H56" i="1"/>
  <c r="F57" i="1"/>
  <c r="H57" i="1"/>
  <c r="F58" i="1"/>
  <c r="G58" i="1"/>
  <c r="E61" i="1"/>
  <c r="F61" i="1"/>
  <c r="G61" i="1" s="1"/>
  <c r="H61" i="1"/>
  <c r="D62" i="1"/>
  <c r="F62" i="1"/>
  <c r="G62" i="1" s="1"/>
  <c r="H62" i="1"/>
  <c r="D63" i="1"/>
  <c r="E63" i="1"/>
  <c r="G63" i="1"/>
  <c r="H63" i="1"/>
  <c r="D64" i="1"/>
  <c r="D65" i="1" s="1"/>
  <c r="E64" i="1"/>
  <c r="E65" i="1" s="1"/>
  <c r="F64" i="1"/>
  <c r="G64" i="1"/>
  <c r="G65" i="1" s="1"/>
  <c r="H64" i="1"/>
  <c r="F65" i="1"/>
  <c r="E68" i="1"/>
  <c r="F68" i="1" s="1"/>
  <c r="G68" i="1" s="1"/>
  <c r="H68" i="1" s="1"/>
  <c r="D69" i="1"/>
  <c r="F69" i="1"/>
  <c r="G69" i="1"/>
  <c r="H69" i="1" s="1"/>
  <c r="D70" i="1"/>
  <c r="D71" i="1" s="1"/>
  <c r="D72" i="1" s="1"/>
  <c r="E70" i="1"/>
  <c r="G70" i="1"/>
  <c r="H70" i="1" s="1"/>
  <c r="E71" i="1"/>
  <c r="F71" i="1"/>
  <c r="H71" i="1"/>
  <c r="E72" i="1"/>
  <c r="F72" i="1"/>
  <c r="G72" i="1"/>
  <c r="E75" i="1"/>
  <c r="F75" i="1" s="1"/>
  <c r="G75" i="1"/>
  <c r="H75" i="1" s="1"/>
  <c r="D76" i="1"/>
  <c r="F76" i="1"/>
  <c r="G76" i="1"/>
  <c r="H76" i="1" s="1"/>
  <c r="D77" i="1"/>
  <c r="E77" i="1"/>
  <c r="G77" i="1"/>
  <c r="H77" i="1" s="1"/>
  <c r="D78" i="1"/>
  <c r="E78" i="1"/>
  <c r="F78" i="1"/>
  <c r="F79" i="1" s="1"/>
  <c r="H78" i="1"/>
  <c r="D79" i="1"/>
  <c r="E79" i="1"/>
  <c r="G79" i="1"/>
  <c r="E82" i="1"/>
  <c r="F82" i="1" s="1"/>
  <c r="G82" i="1"/>
  <c r="H82" i="1"/>
  <c r="D83" i="1"/>
  <c r="F83" i="1"/>
  <c r="G83" i="1"/>
  <c r="H83" i="1"/>
  <c r="D84" i="1"/>
  <c r="E84" i="1"/>
  <c r="G84" i="1"/>
  <c r="H84" i="1"/>
  <c r="D85" i="1"/>
  <c r="E85" i="1"/>
  <c r="F85" i="1"/>
  <c r="H85" i="1"/>
  <c r="D86" i="1"/>
  <c r="E86" i="1"/>
  <c r="F86" i="1"/>
  <c r="G86" i="1"/>
  <c r="E89" i="1"/>
  <c r="F89" i="1" s="1"/>
  <c r="G89" i="1" s="1"/>
  <c r="H89" i="1" s="1"/>
  <c r="D90" i="1"/>
  <c r="D91" i="1" s="1"/>
  <c r="E90" i="1"/>
  <c r="F90" i="1"/>
  <c r="G90" i="1"/>
  <c r="H90" i="1"/>
  <c r="E91" i="1"/>
  <c r="F91" i="1"/>
  <c r="G91" i="1"/>
  <c r="H91" i="1" s="1"/>
  <c r="D92" i="1"/>
  <c r="D93" i="1" s="1"/>
  <c r="E92" i="1"/>
  <c r="E93" i="1" s="1"/>
  <c r="F92" i="1"/>
  <c r="F93" i="1" s="1"/>
  <c r="G92" i="1"/>
  <c r="H92" i="1"/>
  <c r="G93" i="1"/>
  <c r="H93" i="1"/>
  <c r="E96" i="1"/>
  <c r="F96" i="1" s="1"/>
  <c r="G96" i="1" s="1"/>
  <c r="H96" i="1" s="1"/>
  <c r="D97" i="1"/>
  <c r="D98" i="1" s="1"/>
  <c r="D99" i="1" s="1"/>
  <c r="D100" i="1" s="1"/>
  <c r="E97" i="1"/>
  <c r="F97" i="1"/>
  <c r="G97" i="1"/>
  <c r="H97" i="1"/>
  <c r="E98" i="1"/>
  <c r="F98" i="1"/>
  <c r="G98" i="1"/>
  <c r="H98" i="1" s="1"/>
  <c r="E99" i="1"/>
  <c r="E100" i="1" s="1"/>
  <c r="F99" i="1"/>
  <c r="F100" i="1" s="1"/>
  <c r="G99" i="1"/>
  <c r="H99" i="1"/>
  <c r="G100" i="1"/>
  <c r="H100" i="1"/>
  <c r="E103" i="1"/>
  <c r="F103" i="1" s="1"/>
  <c r="G103" i="1" s="1"/>
  <c r="H103" i="1" s="1"/>
  <c r="D104" i="1"/>
  <c r="D105" i="1" s="1"/>
  <c r="E104" i="1"/>
  <c r="F104" i="1"/>
  <c r="G104" i="1"/>
  <c r="H104" i="1"/>
  <c r="E105" i="1"/>
  <c r="F105" i="1"/>
  <c r="G105" i="1"/>
  <c r="H105" i="1" s="1"/>
  <c r="D106" i="1"/>
  <c r="D107" i="1" s="1"/>
  <c r="E106" i="1"/>
  <c r="E107" i="1" s="1"/>
  <c r="F106" i="1"/>
  <c r="F107" i="1" s="1"/>
  <c r="G106" i="1"/>
  <c r="H106" i="1"/>
  <c r="G107" i="1"/>
  <c r="H107" i="1"/>
  <c r="E110" i="1"/>
  <c r="F110" i="1" s="1"/>
  <c r="G110" i="1" s="1"/>
  <c r="D111" i="1"/>
  <c r="D112" i="1" s="1"/>
  <c r="D113" i="1" s="1"/>
  <c r="D114" i="1" s="1"/>
  <c r="E111" i="1"/>
  <c r="E112" i="1"/>
  <c r="F112" i="1"/>
  <c r="E113" i="1"/>
  <c r="E114" i="1" s="1"/>
  <c r="F113" i="1"/>
  <c r="F114" i="1" s="1"/>
  <c r="G113" i="1"/>
  <c r="G114" i="1"/>
  <c r="H114" i="1"/>
  <c r="E117" i="1"/>
  <c r="F117" i="1" s="1"/>
  <c r="G117" i="1" s="1"/>
  <c r="H117" i="1" s="1"/>
  <c r="D118" i="1"/>
  <c r="D119" i="1" s="1"/>
  <c r="D120" i="1" s="1"/>
  <c r="D121" i="1" s="1"/>
  <c r="E118" i="1"/>
  <c r="F118" i="1"/>
  <c r="G118" i="1"/>
  <c r="H118" i="1"/>
  <c r="E119" i="1"/>
  <c r="F119" i="1"/>
  <c r="G119" i="1"/>
  <c r="H119" i="1" s="1"/>
  <c r="E120" i="1"/>
  <c r="E121" i="1" s="1"/>
  <c r="F120" i="1"/>
  <c r="F121" i="1" s="1"/>
  <c r="G120" i="1"/>
  <c r="H120" i="1"/>
  <c r="G121" i="1"/>
  <c r="H121" i="1"/>
  <c r="E124" i="1"/>
  <c r="F124" i="1" s="1"/>
  <c r="G124" i="1" s="1"/>
  <c r="D125" i="1"/>
  <c r="D126" i="1" s="1"/>
  <c r="D127" i="1" s="1"/>
  <c r="D128" i="1" s="1"/>
  <c r="E125" i="1"/>
  <c r="E126" i="1"/>
  <c r="F126" i="1"/>
  <c r="E127" i="1"/>
  <c r="E128" i="1" s="1"/>
  <c r="F127" i="1"/>
  <c r="F128" i="1" s="1"/>
  <c r="G127" i="1"/>
  <c r="G128" i="1"/>
  <c r="H128" i="1"/>
  <c r="E131" i="1"/>
  <c r="F131" i="1" s="1"/>
  <c r="G131" i="1" s="1"/>
  <c r="D132" i="1"/>
  <c r="D133" i="1" s="1"/>
  <c r="E132" i="1"/>
  <c r="E133" i="1"/>
  <c r="F133" i="1"/>
  <c r="D134" i="1"/>
  <c r="D135" i="1" s="1"/>
  <c r="E134" i="1"/>
  <c r="E135" i="1" s="1"/>
  <c r="F134" i="1"/>
  <c r="F135" i="1" s="1"/>
  <c r="G134" i="1"/>
  <c r="G135" i="1"/>
  <c r="H135" i="1"/>
  <c r="E138" i="1"/>
  <c r="F138" i="1" s="1"/>
  <c r="G138" i="1" s="1"/>
  <c r="H138" i="1" s="1"/>
  <c r="D139" i="1"/>
  <c r="D140" i="1" s="1"/>
  <c r="E139" i="1"/>
  <c r="F139" i="1"/>
  <c r="G139" i="1"/>
  <c r="H139" i="1"/>
  <c r="E140" i="1"/>
  <c r="F140" i="1"/>
  <c r="G140" i="1"/>
  <c r="H140" i="1" s="1"/>
  <c r="D141" i="1"/>
  <c r="D142" i="1" s="1"/>
  <c r="E141" i="1"/>
  <c r="E142" i="1" s="1"/>
  <c r="F141" i="1"/>
  <c r="F142" i="1" s="1"/>
  <c r="G141" i="1"/>
  <c r="H141" i="1"/>
  <c r="G142" i="1"/>
  <c r="H142" i="1"/>
  <c r="E145" i="1"/>
  <c r="D146" i="1"/>
  <c r="D147" i="1" s="1"/>
  <c r="D148" i="1" s="1"/>
  <c r="D149" i="1" s="1"/>
  <c r="H124" i="1" l="1"/>
  <c r="H125" i="1" s="1"/>
  <c r="H126" i="1" s="1"/>
  <c r="H127" i="1" s="1"/>
  <c r="G125" i="1"/>
  <c r="G126" i="1" s="1"/>
  <c r="H110" i="1"/>
  <c r="H111" i="1" s="1"/>
  <c r="H112" i="1" s="1"/>
  <c r="H113" i="1" s="1"/>
  <c r="G111" i="1"/>
  <c r="G112" i="1" s="1"/>
  <c r="H131" i="1"/>
  <c r="H132" i="1" s="1"/>
  <c r="H133" i="1" s="1"/>
  <c r="H134" i="1" s="1"/>
  <c r="G132" i="1"/>
  <c r="G133" i="1" s="1"/>
  <c r="F41" i="1"/>
  <c r="G41" i="1" s="1"/>
  <c r="H41" i="1" s="1"/>
  <c r="E42" i="1"/>
  <c r="E43" i="1" s="1"/>
  <c r="E44" i="1" s="1"/>
  <c r="H22" i="1"/>
  <c r="G23" i="1"/>
  <c r="F132" i="1"/>
  <c r="F125" i="1"/>
  <c r="F111" i="1"/>
  <c r="F20" i="1"/>
  <c r="G20" i="1" s="1"/>
  <c r="H20" i="1" s="1"/>
  <c r="E21" i="1"/>
  <c r="E22" i="1" s="1"/>
  <c r="E23" i="1" s="1"/>
  <c r="F27" i="1"/>
  <c r="G27" i="1" s="1"/>
  <c r="H27" i="1" s="1"/>
  <c r="E28" i="1"/>
  <c r="E29" i="1" s="1"/>
  <c r="E30" i="1" s="1"/>
  <c r="G12" i="1"/>
  <c r="F13" i="1"/>
  <c r="F14" i="1" s="1"/>
  <c r="F15" i="1" s="1"/>
  <c r="F16" i="1" s="1"/>
  <c r="F145" i="1"/>
  <c r="E146" i="1"/>
  <c r="E147" i="1" s="1"/>
  <c r="E148" i="1" s="1"/>
  <c r="E149" i="1" s="1"/>
  <c r="H43" i="1"/>
  <c r="G44" i="1"/>
  <c r="E35" i="1"/>
  <c r="F35" i="1" s="1"/>
  <c r="G35" i="1" s="1"/>
  <c r="H35" i="1" s="1"/>
  <c r="D36" i="1"/>
  <c r="H29" i="1"/>
  <c r="G30" i="1"/>
  <c r="F146" i="1" l="1"/>
  <c r="F147" i="1" s="1"/>
  <c r="F148" i="1" s="1"/>
  <c r="F149" i="1" s="1"/>
  <c r="G145" i="1"/>
  <c r="H12" i="1"/>
  <c r="H13" i="1" s="1"/>
  <c r="H14" i="1" s="1"/>
  <c r="H15" i="1" s="1"/>
  <c r="H16" i="1" s="1"/>
  <c r="G13" i="1"/>
  <c r="G14" i="1" s="1"/>
  <c r="G15" i="1" s="1"/>
  <c r="G16" i="1" s="1"/>
  <c r="E36" i="1"/>
  <c r="F36" i="1" s="1"/>
  <c r="G36" i="1" s="1"/>
  <c r="H36" i="1" s="1"/>
  <c r="D37" i="1"/>
  <c r="E37" i="1" s="1"/>
  <c r="F37" i="1" s="1"/>
  <c r="G37" i="1" s="1"/>
  <c r="H37" i="1" s="1"/>
  <c r="G146" i="1" l="1"/>
  <c r="G147" i="1" s="1"/>
  <c r="G148" i="1" s="1"/>
  <c r="G149" i="1" s="1"/>
  <c r="H145" i="1"/>
  <c r="H146" i="1" s="1"/>
  <c r="H147" i="1" s="1"/>
  <c r="H148" i="1" s="1"/>
  <c r="H149" i="1" s="1"/>
</calcChain>
</file>

<file path=xl/sharedStrings.xml><?xml version="1.0" encoding="utf-8"?>
<sst xmlns="http://schemas.openxmlformats.org/spreadsheetml/2006/main" count="444" uniqueCount="185">
  <si>
    <t>二、如有無法歸屬表列項目之特殊情形需調整者，得於「其他」項下適度調整。</t>
    <phoneticPr fontId="2" type="noConversion"/>
  </si>
  <si>
    <t>一、如特殊狀況之個案，得敘明理由以不大於本基準明細表價格修正率進行調整或免予考慮部分細項。</t>
    <phoneticPr fontId="2" type="noConversion"/>
  </si>
  <si>
    <t>說明：</t>
  </si>
  <si>
    <t>劣</t>
  </si>
  <si>
    <t>稍劣</t>
  </si>
  <si>
    <t>普通</t>
  </si>
  <si>
    <t>稍優</t>
  </si>
  <si>
    <t>請依據區域其他影響地價因素填寫區分5級</t>
    <phoneticPr fontId="2" type="noConversion"/>
  </si>
  <si>
    <t>優</t>
  </si>
  <si>
    <t>依該區域之其他影響地價因素差異程度來衡量</t>
    <phoneticPr fontId="2" type="noConversion"/>
  </si>
  <si>
    <t>目標區段</t>
    <phoneticPr fontId="2" type="noConversion"/>
  </si>
  <si>
    <t>基準區段</t>
    <phoneticPr fontId="2" type="noConversion"/>
  </si>
  <si>
    <t>其他影響因素</t>
    <phoneticPr fontId="2" type="noConversion"/>
  </si>
  <si>
    <t>劣：無建築改良者。</t>
  </si>
  <si>
    <t>稍劣：經開挖水溝改良者。</t>
  </si>
  <si>
    <t>普通：經舖築道路改良者。</t>
  </si>
  <si>
    <t>、修築駁崁等)或其他改良</t>
    <phoneticPr fontId="2" type="noConversion"/>
  </si>
  <si>
    <t>稍優：經整平或填挖基地改良者。</t>
  </si>
  <si>
    <t>水土保持、鋪築道路、埋設管道</t>
    <phoneticPr fontId="2" type="noConversion"/>
  </si>
  <si>
    <t>優：經埋設管道改良者。</t>
  </si>
  <si>
    <t>(整平或填挖基地、開挖水溝、</t>
    <phoneticPr fontId="2" type="noConversion"/>
  </si>
  <si>
    <t>以區段內建築基地或其他改良程度衡量。</t>
  </si>
  <si>
    <t>改良</t>
  </si>
  <si>
    <t>建築基地</t>
    <phoneticPr fontId="2" type="noConversion"/>
  </si>
  <si>
    <t>土地改良</t>
    <phoneticPr fontId="2" type="noConversion"/>
  </si>
  <si>
    <t>劣：2000公尺＜距離。</t>
  </si>
  <si>
    <t>稍劣：1500公尺＜距離≦2000公尺。</t>
  </si>
  <si>
    <t>院、機關等設施)</t>
    <phoneticPr fontId="2" type="noConversion"/>
  </si>
  <si>
    <t>普通：1000公尺＜距離≦1500公尺。</t>
  </si>
  <si>
    <t>(郵局、銀行、醫</t>
    <phoneticPr fontId="2" type="noConversion"/>
  </si>
  <si>
    <t>稍優：500公尺＜距離≦1000公尺。</t>
  </si>
  <si>
    <t>的程度</t>
    <phoneticPr fontId="2" type="noConversion"/>
  </si>
  <si>
    <t>優：距離≦500公尺。</t>
  </si>
  <si>
    <t>設施</t>
    <phoneticPr fontId="2" type="noConversion"/>
  </si>
  <si>
    <t>服務性</t>
    <phoneticPr fontId="2" type="noConversion"/>
  </si>
  <si>
    <t>以至服務性設施〈郵局、銀行、醫院、機關等〉之距離衡量。</t>
  </si>
  <si>
    <t>接近</t>
    <phoneticPr fontId="2" type="noConversion"/>
  </si>
  <si>
    <t>劣： 無設置處理設施。</t>
  </si>
  <si>
    <t>稍劣：需自行設置處理設施。</t>
  </si>
  <si>
    <t>之有無</t>
    <phoneticPr fontId="2" type="noConversion"/>
  </si>
  <si>
    <t>普通：有提供廢棄物處理設施。</t>
  </si>
  <si>
    <t>稍優：有提供污廢水處理設施。</t>
  </si>
  <si>
    <t>處理</t>
    <phoneticPr fontId="2" type="noConversion"/>
  </si>
  <si>
    <t>優：有提供污廢水及廢棄物處理設施。</t>
  </si>
  <si>
    <t>廢棄物</t>
    <phoneticPr fontId="2" type="noConversion"/>
  </si>
  <si>
    <t>以區段內污廢水及廢棄物處理設施之有無衡量。</t>
  </si>
  <si>
    <t>及</t>
    <phoneticPr fontId="2" type="noConversion"/>
  </si>
  <si>
    <t>汙廢水</t>
    <phoneticPr fontId="2" type="noConversion"/>
  </si>
  <si>
    <t>劣： 無。</t>
  </si>
  <si>
    <t>稍劣：管制。</t>
  </si>
  <si>
    <t>普通：限水量。</t>
  </si>
  <si>
    <t>稍優：供應充足。</t>
  </si>
  <si>
    <t>優：充裕，不斷水。</t>
  </si>
  <si>
    <t>以區段內產業用水設施衡量。</t>
  </si>
  <si>
    <t>用水</t>
    <phoneticPr fontId="2" type="noConversion"/>
  </si>
  <si>
    <t>普通</t>
    <phoneticPr fontId="2" type="noConversion"/>
  </si>
  <si>
    <t>產業</t>
    <phoneticPr fontId="2" type="noConversion"/>
  </si>
  <si>
    <t>劣： 無電力。</t>
  </si>
  <si>
    <t>稍劣：管制供應；常停電。</t>
  </si>
  <si>
    <t>普通：限電供應；偶爾停電。</t>
  </si>
  <si>
    <t>稍優：電力充足。</t>
  </si>
  <si>
    <t>源</t>
    <phoneticPr fontId="2" type="noConversion"/>
  </si>
  <si>
    <t>優：供應充裕且不斷電。</t>
  </si>
  <si>
    <t>資</t>
    <phoneticPr fontId="2" type="noConversion"/>
  </si>
  <si>
    <t>以區段內電力資源程度衡量。</t>
  </si>
  <si>
    <t>力</t>
    <phoneticPr fontId="2" type="noConversion"/>
  </si>
  <si>
    <t>電</t>
    <phoneticPr fontId="2" type="noConversion"/>
  </si>
  <si>
    <t>公共設施</t>
    <phoneticPr fontId="2" type="noConversion"/>
  </si>
  <si>
    <t>以區段內地勢之平坦、低窪、高亢等衡量。</t>
  </si>
  <si>
    <t>勢</t>
    <phoneticPr fontId="2" type="noConversion"/>
  </si>
  <si>
    <t>地</t>
    <phoneticPr fontId="2" type="noConversion"/>
  </si>
  <si>
    <t>否</t>
    <phoneticPr fontId="2" type="noConversion"/>
  </si>
  <si>
    <t>良</t>
    <phoneticPr fontId="2" type="noConversion"/>
  </si>
  <si>
    <t>之</t>
    <phoneticPr fontId="2" type="noConversion"/>
  </si>
  <si>
    <t>以區段內排水設施之有無及是否會積水衡量。</t>
  </si>
  <si>
    <t>水</t>
    <phoneticPr fontId="2" type="noConversion"/>
  </si>
  <si>
    <t>排</t>
    <phoneticPr fontId="2" type="noConversion"/>
  </si>
  <si>
    <t>度</t>
    <phoneticPr fontId="2" type="noConversion"/>
  </si>
  <si>
    <t>以區段內傾斜程度衡量。</t>
  </si>
  <si>
    <t>斜</t>
    <phoneticPr fontId="2" type="noConversion"/>
  </si>
  <si>
    <t>傾</t>
    <phoneticPr fontId="2" type="noConversion"/>
  </si>
  <si>
    <t>自然條件</t>
    <phoneticPr fontId="2" type="noConversion"/>
  </si>
  <si>
    <t>程度</t>
    <phoneticPr fontId="2" type="noConversion"/>
  </si>
  <si>
    <t>闢建</t>
    <phoneticPr fontId="2" type="noConversion"/>
  </si>
  <si>
    <t>規劃</t>
    <phoneticPr fontId="2" type="noConversion"/>
  </si>
  <si>
    <t>以區段內道路規劃及闢建程度來衡量。</t>
  </si>
  <si>
    <t>道路</t>
    <phoneticPr fontId="2" type="noConversion"/>
  </si>
  <si>
    <t>區段內</t>
    <phoneticPr fontId="2" type="noConversion"/>
  </si>
  <si>
    <t>劣： 1400公尺＜距離。</t>
  </si>
  <si>
    <t>稍劣：1100公尺＜距離≦1400公尺。</t>
  </si>
  <si>
    <t>之程度</t>
    <phoneticPr fontId="2" type="noConversion"/>
  </si>
  <si>
    <t>普通：800公尺＜距離≦1100公尺。</t>
  </si>
  <si>
    <t>交流道</t>
    <phoneticPr fontId="2" type="noConversion"/>
  </si>
  <si>
    <t>稍優：500公尺＜距離≦800公尺。</t>
  </si>
  <si>
    <t>以至交流道之距離衡量。</t>
  </si>
  <si>
    <t>劣： 無</t>
  </si>
  <si>
    <t>稍劣：1線</t>
  </si>
  <si>
    <t>普通：2線</t>
  </si>
  <si>
    <t>密集程度</t>
  </si>
  <si>
    <t>稍優：3線</t>
  </si>
  <si>
    <t>或</t>
  </si>
  <si>
    <t>優：4線〈含〉以上。</t>
  </si>
  <si>
    <t>以至公車、客運站牌之距離或密集程度衡量。</t>
  </si>
  <si>
    <t>之接近</t>
    <phoneticPr fontId="2" type="noConversion"/>
  </si>
  <si>
    <t>站牌</t>
  </si>
  <si>
    <t>車站</t>
    <phoneticPr fontId="2" type="noConversion"/>
  </si>
  <si>
    <t>以至台南火車站之距離衡量。。</t>
  </si>
  <si>
    <t>大型</t>
    <phoneticPr fontId="2" type="noConversion"/>
  </si>
  <si>
    <t>劣：寬度＜3公尺</t>
  </si>
  <si>
    <t>稍劣：3≦寬度＜5公尺</t>
  </si>
  <si>
    <t>普通： 5≦寬度＜10公尺</t>
  </si>
  <si>
    <t>稍優：10≦寬度＜20公尺</t>
  </si>
  <si>
    <t>寬度</t>
    <phoneticPr fontId="2" type="noConversion"/>
  </si>
  <si>
    <t>優： 20公尺≦寬度</t>
  </si>
  <si>
    <t>平均</t>
    <phoneticPr fontId="2" type="noConversion"/>
  </si>
  <si>
    <t>以區段內已開闢道路之平均寬度來衡量。</t>
  </si>
  <si>
    <t>劣：寬度＜5公尺</t>
  </si>
  <si>
    <t>稍劣：5≦寬度＜10公尺</t>
  </si>
  <si>
    <t>普通：10≦寬度＜20公尺</t>
  </si>
  <si>
    <t>寬</t>
    <phoneticPr fontId="2" type="noConversion"/>
  </si>
  <si>
    <t>稍優：20≦寬度＜30公尺</t>
  </si>
  <si>
    <t>路</t>
    <phoneticPr fontId="2" type="noConversion"/>
  </si>
  <si>
    <t>優： 30公尺≦寬度</t>
  </si>
  <si>
    <t>道</t>
    <phoneticPr fontId="2" type="noConversion"/>
  </si>
  <si>
    <t>以區段主要道路之平均寬度來衡量。</t>
  </si>
  <si>
    <t>要</t>
    <phoneticPr fontId="2" type="noConversion"/>
  </si>
  <si>
    <t>主</t>
    <phoneticPr fontId="2" type="noConversion"/>
  </si>
  <si>
    <t>交通運輸</t>
    <phoneticPr fontId="2" type="noConversion"/>
  </si>
  <si>
    <t>...等)</t>
    <phoneticPr fontId="2" type="noConversion"/>
  </si>
  <si>
    <t>、高度限制</t>
    <phoneticPr fontId="2" type="noConversion"/>
  </si>
  <si>
    <t>、面積限制</t>
    <phoneticPr fontId="2" type="noConversion"/>
  </si>
  <si>
    <t>(整體開發</t>
    <phoneticPr fontId="2" type="noConversion"/>
  </si>
  <si>
    <t>以限制建築（整體開發、面積限制、高度限制……等）之強度、內容、時間長短來衡量。</t>
    <phoneticPr fontId="2" type="noConversion"/>
  </si>
  <si>
    <t>制建築</t>
    <phoneticPr fontId="2" type="noConversion"/>
  </si>
  <si>
    <t>有無限</t>
    <phoneticPr fontId="2" type="noConversion"/>
  </si>
  <si>
    <t>築</t>
    <phoneticPr fontId="2" type="noConversion"/>
  </si>
  <si>
    <t>建</t>
    <phoneticPr fontId="2" type="noConversion"/>
  </si>
  <si>
    <t>止</t>
    <phoneticPr fontId="2" type="noConversion"/>
  </si>
  <si>
    <t>時間長短來衡量。</t>
  </si>
  <si>
    <t>禁</t>
    <phoneticPr fontId="2" type="noConversion"/>
  </si>
  <si>
    <t>以有無禁止建築，及禁建內容、範圍</t>
  </si>
  <si>
    <t>無</t>
    <phoneticPr fontId="2" type="noConversion"/>
  </si>
  <si>
    <t>有</t>
    <phoneticPr fontId="2" type="noConversion"/>
  </si>
  <si>
    <t>劣：容積率＜100％</t>
  </si>
  <si>
    <t>稍劣：100≦容積率＜200％</t>
  </si>
  <si>
    <t>普通：200≦容積率＜300％</t>
  </si>
  <si>
    <t>稍優：300≦容積率＜400％</t>
  </si>
  <si>
    <t>優：400％≦容積率</t>
  </si>
  <si>
    <t>率</t>
    <phoneticPr fontId="2" type="noConversion"/>
  </si>
  <si>
    <t>以都市計畫法所編定的容積率來衡量。</t>
  </si>
  <si>
    <t>積</t>
    <phoneticPr fontId="2" type="noConversion"/>
  </si>
  <si>
    <t>優</t>
    <phoneticPr fontId="2" type="noConversion"/>
  </si>
  <si>
    <t>容</t>
    <phoneticPr fontId="2" type="noConversion"/>
  </si>
  <si>
    <t>劣：建蔽率＜50％。</t>
  </si>
  <si>
    <t>稍劣：50≦建蔽率＜60％</t>
  </si>
  <si>
    <t>普通：60≦建蔽率＜80％</t>
  </si>
  <si>
    <t>稍優：建蔽率＝80％</t>
  </si>
  <si>
    <t>優：80％＜建蔽率。</t>
  </si>
  <si>
    <t>依都市計畫所編定之建蔽率來衡量。</t>
  </si>
  <si>
    <t>蔽</t>
    <phoneticPr fontId="2" type="noConversion"/>
  </si>
  <si>
    <t>劣：窯業用地及其他受限使用之用地。</t>
  </si>
  <si>
    <t>稍劣：特種工業區、零星工業區。</t>
  </si>
  <si>
    <t xml:space="preserve">普通：甲種工業區。  </t>
  </si>
  <si>
    <t>別)</t>
    <phoneticPr fontId="2" type="noConversion"/>
  </si>
  <si>
    <t>乙種工業區、丁種建築用地。</t>
  </si>
  <si>
    <t>編定類</t>
    <phoneticPr fontId="2" type="noConversion"/>
  </si>
  <si>
    <t>稍優：一般工業區、中小規模工業區</t>
  </si>
  <si>
    <t>(使用地</t>
    <phoneticPr fontId="2" type="noConversion"/>
  </si>
  <si>
    <t>優：科學工業園區等。</t>
  </si>
  <si>
    <t>分區</t>
    <phoneticPr fontId="2" type="noConversion"/>
  </si>
  <si>
    <t>使用</t>
    <phoneticPr fontId="2" type="noConversion"/>
  </si>
  <si>
    <t>(內、外)</t>
    <phoneticPr fontId="2" type="noConversion"/>
  </si>
  <si>
    <t>畫</t>
    <phoneticPr fontId="2" type="noConversion"/>
  </si>
  <si>
    <t>都市計畫區外：劣</t>
    <phoneticPr fontId="2" type="noConversion"/>
  </si>
  <si>
    <t>計</t>
    <phoneticPr fontId="2" type="noConversion"/>
  </si>
  <si>
    <t>都市計畫區內：優</t>
    <phoneticPr fontId="2" type="noConversion"/>
  </si>
  <si>
    <t>市</t>
    <phoneticPr fontId="2" type="noConversion"/>
  </si>
  <si>
    <t>以該區域是否為都市計畫內外區分</t>
    <phoneticPr fontId="2" type="noConversion"/>
  </si>
  <si>
    <t>都</t>
    <phoneticPr fontId="2" type="noConversion"/>
  </si>
  <si>
    <t>土地使用管制</t>
    <phoneticPr fontId="2" type="noConversion"/>
  </si>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</sst>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0_ "/>
    <numFmt numFmtId="177" formatCode="0_ "/>
  </numFmts>
  <fonts count="11">
    <font>
      <sz val="12"/>
      <name val="新細明體"/>
      <family val="1"/>
      <charset val="136"/>
    </font>
    <font>
      <sz val="12"/>
      <name val="華康細圓體"/>
      <family val="3"/>
      <charset val="136"/>
    </font>
    <font>
      <sz val="9"/>
      <name val="新細明體"/>
      <family val="1"/>
      <charset val="136"/>
    </font>
    <font>
      <sz val="12"/>
      <color indexed="8"/>
      <name val="華康細圓體"/>
      <family val="3"/>
      <charset val="136"/>
    </font>
    <font>
      <b/>
      <sz val="12"/>
      <name val="華康細圓體"/>
      <family val="3"/>
      <charset val="136"/>
    </font>
    <font>
      <sz val="12"/>
      <name val="Courier"/>
      <family val="3"/>
    </font>
    <font>
      <sz val="8"/>
      <name val="華康細圓體"/>
      <family val="3"/>
      <charset val="136"/>
    </font>
    <font>
      <sz val="7"/>
      <name val="華康細圓體"/>
      <family val="3"/>
      <charset val="136"/>
    </font>
    <font>
      <sz val="6"/>
      <name val="華康細圓體"/>
      <family val="3"/>
      <charset val="136"/>
    </font>
    <font>
      <sz val="11"/>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32">
    <border>
      <left/>
      <right/>
      <top/>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thick">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thick">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alignment vertical="center"/>
    </xf>
    <xf numFmtId="0" fontId="5" fillId="0" borderId="0"/>
  </cellStyleXfs>
  <cellXfs count="76">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0" borderId="0" xfId="0" applyFont="1" applyAlignment="1">
      <alignment horizontal="center" vertical="center"/>
    </xf>
    <xf numFmtId="0" fontId="1" fillId="0" borderId="0" xfId="0" applyFont="1" applyBorder="1">
      <alignment vertical="center"/>
    </xf>
    <xf numFmtId="176" fontId="1" fillId="0" borderId="0" xfId="0" applyNumberFormat="1" applyFont="1" applyBorder="1">
      <alignment vertical="center"/>
    </xf>
    <xf numFmtId="0" fontId="1" fillId="0" borderId="0" xfId="0" applyFont="1" applyBorder="1" applyAlignment="1">
      <alignment horizontal="center" vertical="center"/>
    </xf>
    <xf numFmtId="0" fontId="1"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1" xfId="0" applyFont="1" applyBorder="1" applyAlignment="1">
      <alignment horizontal="left" vertical="center"/>
    </xf>
    <xf numFmtId="0" fontId="1" fillId="0" borderId="2" xfId="0" applyFont="1" applyBorder="1" applyAlignment="1">
      <alignment vertical="top" wrapText="1"/>
    </xf>
    <xf numFmtId="177" fontId="1" fillId="0" borderId="3" xfId="1" applyNumberFormat="1" applyFont="1" applyBorder="1" applyAlignment="1" applyProtection="1">
      <alignment horizontal="center" vertical="center"/>
    </xf>
    <xf numFmtId="176" fontId="1" fillId="0" borderId="4" xfId="1" applyNumberFormat="1" applyFont="1" applyBorder="1" applyAlignment="1" applyProtection="1">
      <alignment horizontal="center" vertical="center"/>
    </xf>
    <xf numFmtId="0" fontId="1"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0" borderId="2" xfId="0" applyFont="1" applyBorder="1" applyAlignment="1">
      <alignment horizontal="center" vertical="center" textRotation="255" wrapText="1"/>
    </xf>
    <xf numFmtId="0" fontId="1" fillId="0" borderId="7" xfId="0" applyFont="1" applyBorder="1" applyAlignment="1">
      <alignment vertical="top" wrapText="1"/>
    </xf>
    <xf numFmtId="176" fontId="1" fillId="0" borderId="8"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textRotation="255" wrapText="1"/>
    </xf>
    <xf numFmtId="0" fontId="1" fillId="0" borderId="7" xfId="0" applyFont="1" applyBorder="1" applyAlignment="1">
      <alignment vertical="center" wrapText="1"/>
    </xf>
    <xf numFmtId="176" fontId="1" fillId="0" borderId="8" xfId="0" applyNumberFormat="1" applyFont="1" applyBorder="1" applyAlignment="1">
      <alignment horizontal="center" vertical="center" wrapText="1"/>
    </xf>
    <xf numFmtId="176" fontId="1" fillId="0" borderId="9" xfId="0" applyNumberFormat="1" applyFont="1" applyBorder="1" applyAlignment="1">
      <alignment horizontal="center" vertical="center" wrapText="1"/>
    </xf>
    <xf numFmtId="0" fontId="6" fillId="0" borderId="12" xfId="0" applyFont="1" applyBorder="1">
      <alignment vertical="center"/>
    </xf>
    <xf numFmtId="0" fontId="1" fillId="0" borderId="13" xfId="0" applyFont="1" applyBorder="1" applyAlignment="1">
      <alignment vertical="center" wrapText="1"/>
    </xf>
    <xf numFmtId="176" fontId="1" fillId="0" borderId="14" xfId="0" applyNumberFormat="1" applyFont="1" applyBorder="1" applyAlignment="1">
      <alignment horizontal="center" vertical="center" wrapText="1"/>
    </xf>
    <xf numFmtId="176" fontId="1" fillId="0" borderId="15" xfId="0" applyNumberFormat="1" applyFont="1" applyBorder="1" applyAlignment="1">
      <alignment horizontal="center" vertical="center" wrapText="1"/>
    </xf>
    <xf numFmtId="0" fontId="6" fillId="0" borderId="16" xfId="0" applyFont="1" applyBorder="1" applyAlignment="1">
      <alignment horizontal="right"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textRotation="255" wrapText="1"/>
    </xf>
    <xf numFmtId="0" fontId="1" fillId="0" borderId="7" xfId="0" applyFont="1" applyBorder="1">
      <alignment vertical="center"/>
    </xf>
    <xf numFmtId="177" fontId="1" fillId="0" borderId="4" xfId="1" applyNumberFormat="1" applyFont="1" applyBorder="1" applyAlignment="1" applyProtection="1">
      <alignment horizontal="center" vertical="center"/>
    </xf>
    <xf numFmtId="0" fontId="1" fillId="0" borderId="19" xfId="0" applyFont="1" applyBorder="1" applyAlignment="1">
      <alignment horizontal="center" vertical="center" wrapText="1"/>
    </xf>
    <xf numFmtId="0" fontId="1" fillId="0" borderId="20" xfId="0" applyFont="1" applyBorder="1" applyAlignment="1">
      <alignment horizontal="center" vertical="center" textRotation="255" wrapText="1"/>
    </xf>
    <xf numFmtId="177" fontId="1" fillId="0" borderId="8" xfId="1" applyNumberFormat="1" applyFont="1" applyBorder="1" applyAlignment="1" applyProtection="1">
      <alignment horizontal="center" vertical="center"/>
    </xf>
    <xf numFmtId="0" fontId="1" fillId="0" borderId="2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1" xfId="0" applyFont="1" applyFill="1" applyBorder="1" applyAlignment="1">
      <alignment horizontal="center" vertical="center" wrapText="1"/>
    </xf>
    <xf numFmtId="176" fontId="1" fillId="0" borderId="22" xfId="0" applyNumberFormat="1" applyFont="1" applyBorder="1" applyAlignment="1">
      <alignment horizontal="center" vertical="center" wrapText="1"/>
    </xf>
    <xf numFmtId="0" fontId="1" fillId="0" borderId="11" xfId="0" applyFont="1" applyFill="1" applyBorder="1" applyAlignment="1">
      <alignment horizontal="center" vertical="center" wrapText="1"/>
    </xf>
    <xf numFmtId="176" fontId="1" fillId="0" borderId="23" xfId="0" applyNumberFormat="1" applyFont="1" applyBorder="1" applyAlignment="1">
      <alignment horizontal="center" vertical="center" wrapText="1"/>
    </xf>
    <xf numFmtId="176" fontId="1" fillId="0" borderId="24" xfId="0" applyNumberFormat="1" applyFont="1" applyBorder="1" applyAlignment="1">
      <alignment horizontal="center" vertical="center" wrapText="1"/>
    </xf>
    <xf numFmtId="0" fontId="1" fillId="0" borderId="2" xfId="0" applyFont="1" applyBorder="1">
      <alignment vertical="center"/>
    </xf>
    <xf numFmtId="0" fontId="8" fillId="0" borderId="11" xfId="0" applyFont="1" applyBorder="1" applyAlignment="1">
      <alignment horizontal="center" vertical="center" wrapText="1"/>
    </xf>
    <xf numFmtId="0" fontId="1" fillId="0" borderId="7" xfId="0" applyFont="1" applyBorder="1" applyAlignment="1">
      <alignment horizontal="left" vertical="center" wrapText="1"/>
    </xf>
    <xf numFmtId="176" fontId="1" fillId="0" borderId="25" xfId="0" applyNumberFormat="1" applyFont="1" applyBorder="1" applyAlignment="1">
      <alignment horizontal="center" vertical="center" wrapText="1"/>
    </xf>
    <xf numFmtId="0" fontId="9" fillId="0" borderId="11" xfId="0" applyFont="1" applyBorder="1" applyAlignment="1">
      <alignment horizontal="center" vertical="center" wrapText="1"/>
    </xf>
    <xf numFmtId="0" fontId="1" fillId="0" borderId="0" xfId="0" applyFont="1" applyAlignment="1">
      <alignment vertical="center" wrapText="1"/>
    </xf>
    <xf numFmtId="177" fontId="1" fillId="0" borderId="26" xfId="1" applyNumberFormat="1" applyFont="1" applyBorder="1" applyAlignment="1" applyProtection="1">
      <alignment horizontal="center" vertical="center"/>
    </xf>
    <xf numFmtId="176" fontId="1" fillId="0" borderId="27" xfId="1" applyNumberFormat="1" applyFont="1" applyBorder="1" applyAlignment="1" applyProtection="1">
      <alignment horizontal="center" vertical="center"/>
    </xf>
    <xf numFmtId="0" fontId="1" fillId="0" borderId="28" xfId="0" applyFont="1" applyBorder="1" applyAlignment="1">
      <alignment horizontal="center" vertical="center" wrapText="1"/>
    </xf>
    <xf numFmtId="0" fontId="1" fillId="0" borderId="13" xfId="0" applyFont="1" applyFill="1" applyBorder="1" applyAlignment="1">
      <alignment vertical="center" wrapText="1"/>
    </xf>
    <xf numFmtId="0" fontId="1" fillId="0" borderId="7" xfId="0" applyFont="1" applyFill="1" applyBorder="1" applyAlignment="1">
      <alignment horizontal="justify" vertical="top" wrapText="1"/>
    </xf>
    <xf numFmtId="0" fontId="1" fillId="0" borderId="7" xfId="0" applyFont="1" applyBorder="1" applyAlignment="1">
      <alignment horizontal="justify" vertical="top" wrapText="1"/>
    </xf>
    <xf numFmtId="0" fontId="1" fillId="0" borderId="13" xfId="0" applyFont="1" applyBorder="1" applyAlignment="1">
      <alignment vertical="top" wrapText="1"/>
    </xf>
    <xf numFmtId="0" fontId="10" fillId="0" borderId="11" xfId="0" applyFont="1" applyBorder="1" applyAlignment="1">
      <alignment horizontal="center" vertical="center" wrapText="1"/>
    </xf>
    <xf numFmtId="0" fontId="10" fillId="0" borderId="11" xfId="0" applyFont="1" applyFill="1" applyBorder="1" applyAlignment="1">
      <alignment horizontal="center" vertical="center" wrapText="1"/>
    </xf>
    <xf numFmtId="177" fontId="1" fillId="0" borderId="27" xfId="1" applyNumberFormat="1" applyFont="1" applyBorder="1" applyAlignment="1" applyProtection="1">
      <alignment horizontal="center" vertical="center"/>
    </xf>
    <xf numFmtId="0" fontId="1" fillId="0" borderId="7" xfId="0" applyFont="1" applyBorder="1" applyAlignment="1">
      <alignment horizontal="left" vertical="center" indent="3"/>
    </xf>
    <xf numFmtId="0" fontId="1" fillId="2" borderId="29"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13" xfId="0" applyFont="1" applyBorder="1" applyAlignment="1">
      <alignment horizontal="justify" vertical="top" wrapText="1"/>
    </xf>
    <xf numFmtId="0" fontId="1" fillId="0" borderId="1" xfId="0" applyFont="1" applyBorder="1" applyAlignment="1">
      <alignment horizontal="center" vertical="center" wrapText="1"/>
    </xf>
    <xf numFmtId="0" fontId="1" fillId="0" borderId="13" xfId="0" applyFont="1" applyBorder="1" applyAlignment="1">
      <alignment horizontal="center" vertical="center" textRotation="255" wrapText="1"/>
    </xf>
    <xf numFmtId="0" fontId="1" fillId="0" borderId="3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3"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209550</xdr:rowOff>
    </xdr:from>
    <xdr:to>
      <xdr:col>3</xdr:col>
      <xdr:colOff>9525</xdr:colOff>
      <xdr:row>4</xdr:row>
      <xdr:rowOff>9525</xdr:rowOff>
    </xdr:to>
    <xdr:sp macro="" textlink="">
      <xdr:nvSpPr>
        <xdr:cNvPr id="2" name="Line 1"/>
        <xdr:cNvSpPr>
          <a:spLocks noChangeShapeType="1"/>
        </xdr:cNvSpPr>
      </xdr:nvSpPr>
      <xdr:spPr bwMode="auto">
        <a:xfrm>
          <a:off x="1371600" y="419100"/>
          <a:ext cx="695325" cy="428625"/>
        </a:xfrm>
        <a:custGeom>
          <a:avLst/>
          <a:gdLst>
            <a:gd name="T0" fmla="*/ 0 w 731227"/>
            <a:gd name="T1" fmla="*/ 0 h 455734"/>
            <a:gd name="T2" fmla="*/ 734156 w 731227"/>
            <a:gd name="T3" fmla="*/ 456459 h 455734"/>
            <a:gd name="T4" fmla="*/ 0 60000 65536"/>
            <a:gd name="T5" fmla="*/ 0 60000 65536"/>
          </a:gdLst>
          <a:ahLst/>
          <a:cxnLst>
            <a:cxn ang="T4">
              <a:pos x="T0" y="T1"/>
            </a:cxn>
            <a:cxn ang="T5">
              <a:pos x="T2" y="T3"/>
            </a:cxn>
          </a:cxnLst>
          <a:rect l="0" t="0" r="r" b="b"/>
          <a:pathLst>
            <a:path w="731227" h="455734">
              <a:moveTo>
                <a:pt x="0" y="0"/>
              </a:moveTo>
              <a:cubicBezTo>
                <a:pt x="241300" y="127488"/>
                <a:pt x="489927" y="328246"/>
                <a:pt x="731227" y="45573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0</xdr:rowOff>
    </xdr:from>
    <xdr:to>
      <xdr:col>3</xdr:col>
      <xdr:colOff>9525</xdr:colOff>
      <xdr:row>11</xdr:row>
      <xdr:rowOff>0</xdr:rowOff>
    </xdr:to>
    <xdr:sp macro="" textlink="">
      <xdr:nvSpPr>
        <xdr:cNvPr id="3" name="Line 1"/>
        <xdr:cNvSpPr>
          <a:spLocks noChangeShapeType="1"/>
        </xdr:cNvSpPr>
      </xdr:nvSpPr>
      <xdr:spPr bwMode="auto">
        <a:xfrm>
          <a:off x="1381125" y="1885950"/>
          <a:ext cx="685800" cy="419100"/>
        </a:xfrm>
        <a:custGeom>
          <a:avLst/>
          <a:gdLst>
            <a:gd name="T0" fmla="*/ 0 w 721702"/>
            <a:gd name="T1" fmla="*/ 0 h 440349"/>
            <a:gd name="T2" fmla="*/ 724631 w 721702"/>
            <a:gd name="T3" fmla="*/ 434510 h 440349"/>
            <a:gd name="T4" fmla="*/ 0 60000 65536"/>
            <a:gd name="T5" fmla="*/ 0 60000 65536"/>
          </a:gdLst>
          <a:ahLst/>
          <a:cxnLst>
            <a:cxn ang="T4">
              <a:pos x="T0" y="T1"/>
            </a:cxn>
            <a:cxn ang="T5">
              <a:pos x="T2" y="T3"/>
            </a:cxn>
          </a:cxnLst>
          <a:rect l="0" t="0" r="r" b="b"/>
          <a:pathLst>
            <a:path w="721702" h="440349">
              <a:moveTo>
                <a:pt x="0" y="0"/>
              </a:moveTo>
              <a:cubicBezTo>
                <a:pt x="238125" y="127244"/>
                <a:pt x="483577" y="313105"/>
                <a:pt x="721702" y="44034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0</xdr:rowOff>
    </xdr:from>
    <xdr:to>
      <xdr:col>3</xdr:col>
      <xdr:colOff>9525</xdr:colOff>
      <xdr:row>17</xdr:row>
      <xdr:rowOff>209550</xdr:rowOff>
    </xdr:to>
    <xdr:sp macro="" textlink="">
      <xdr:nvSpPr>
        <xdr:cNvPr id="4" name="Line 1"/>
        <xdr:cNvSpPr>
          <a:spLocks noChangeShapeType="1"/>
        </xdr:cNvSpPr>
      </xdr:nvSpPr>
      <xdr:spPr bwMode="auto">
        <a:xfrm>
          <a:off x="1381125" y="3352800"/>
          <a:ext cx="685800" cy="419100"/>
        </a:xfrm>
        <a:custGeom>
          <a:avLst/>
          <a:gdLst>
            <a:gd name="T0" fmla="*/ 0 w 729029"/>
            <a:gd name="T1" fmla="*/ 0 h 433021"/>
            <a:gd name="T2" fmla="*/ 717362 w 729029"/>
            <a:gd name="T3" fmla="*/ 423555 h 433021"/>
            <a:gd name="T4" fmla="*/ 0 60000 65536"/>
            <a:gd name="T5" fmla="*/ 0 60000 65536"/>
          </a:gdLst>
          <a:ahLst/>
          <a:cxnLst>
            <a:cxn ang="T4">
              <a:pos x="T0" y="T1"/>
            </a:cxn>
            <a:cxn ang="T5">
              <a:pos x="T2" y="T3"/>
            </a:cxn>
          </a:cxnLst>
          <a:rect l="0" t="0" r="r" b="b"/>
          <a:pathLst>
            <a:path w="729029" h="433021">
              <a:moveTo>
                <a:pt x="0" y="0"/>
              </a:moveTo>
              <a:cubicBezTo>
                <a:pt x="238125" y="127244"/>
                <a:pt x="490904" y="305777"/>
                <a:pt x="729029" y="433021"/>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22</xdr:row>
      <xdr:rowOff>209550</xdr:rowOff>
    </xdr:from>
    <xdr:to>
      <xdr:col>3</xdr:col>
      <xdr:colOff>0</xdr:colOff>
      <xdr:row>24</xdr:row>
      <xdr:rowOff>209550</xdr:rowOff>
    </xdr:to>
    <xdr:sp macro="" textlink="">
      <xdr:nvSpPr>
        <xdr:cNvPr id="5" name="Line 1"/>
        <xdr:cNvSpPr>
          <a:spLocks noChangeShapeType="1"/>
        </xdr:cNvSpPr>
      </xdr:nvSpPr>
      <xdr:spPr bwMode="auto">
        <a:xfrm>
          <a:off x="1371600" y="4819650"/>
          <a:ext cx="685800" cy="419100"/>
        </a:xfrm>
        <a:custGeom>
          <a:avLst/>
          <a:gdLst>
            <a:gd name="T0" fmla="*/ 0 w 729853"/>
            <a:gd name="T1" fmla="*/ 0 h 442913"/>
            <a:gd name="T2" fmla="*/ 715653 w 729853"/>
            <a:gd name="T3" fmla="*/ 431109 h 442913"/>
            <a:gd name="T4" fmla="*/ 0 60000 65536"/>
            <a:gd name="T5" fmla="*/ 0 60000 65536"/>
          </a:gdLst>
          <a:ahLst/>
          <a:cxnLst>
            <a:cxn ang="T4">
              <a:pos x="T0" y="T1"/>
            </a:cxn>
            <a:cxn ang="T5">
              <a:pos x="T2" y="T3"/>
            </a:cxn>
          </a:cxnLst>
          <a:rect l="0" t="0" r="r" b="b"/>
          <a:pathLst>
            <a:path w="729853" h="442913">
              <a:moveTo>
                <a:pt x="0" y="0"/>
              </a:moveTo>
              <a:cubicBezTo>
                <a:pt x="241300" y="127794"/>
                <a:pt x="488553" y="315119"/>
                <a:pt x="729853" y="44291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36</xdr:row>
      <xdr:rowOff>209550</xdr:rowOff>
    </xdr:from>
    <xdr:to>
      <xdr:col>3</xdr:col>
      <xdr:colOff>19050</xdr:colOff>
      <xdr:row>39</xdr:row>
      <xdr:rowOff>0</xdr:rowOff>
    </xdr:to>
    <xdr:sp macro="" textlink="">
      <xdr:nvSpPr>
        <xdr:cNvPr id="6" name="Line 1"/>
        <xdr:cNvSpPr>
          <a:spLocks noChangeShapeType="1"/>
        </xdr:cNvSpPr>
      </xdr:nvSpPr>
      <xdr:spPr bwMode="auto">
        <a:xfrm>
          <a:off x="1371600" y="7753350"/>
          <a:ext cx="704850" cy="419100"/>
        </a:xfrm>
        <a:custGeom>
          <a:avLst/>
          <a:gdLst>
            <a:gd name="T0" fmla="*/ 0 w 741759"/>
            <a:gd name="T1" fmla="*/ 0 h 454818"/>
            <a:gd name="T2" fmla="*/ 741754 w 741759"/>
            <a:gd name="T3" fmla="*/ 437184 h 454818"/>
            <a:gd name="T4" fmla="*/ 0 60000 65536"/>
            <a:gd name="T5" fmla="*/ 0 60000 65536"/>
          </a:gdLst>
          <a:ahLst/>
          <a:cxnLst>
            <a:cxn ang="T4">
              <a:pos x="T0" y="T1"/>
            </a:cxn>
            <a:cxn ang="T5">
              <a:pos x="T2" y="T3"/>
            </a:cxn>
          </a:cxnLst>
          <a:rect l="0" t="0" r="r" b="b"/>
          <a:pathLst>
            <a:path w="741759" h="454818">
              <a:moveTo>
                <a:pt x="0" y="0"/>
              </a:moveTo>
              <a:cubicBezTo>
                <a:pt x="241300" y="127794"/>
                <a:pt x="500459" y="327024"/>
                <a:pt x="741759" y="45481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43</xdr:row>
      <xdr:rowOff>209550</xdr:rowOff>
    </xdr:from>
    <xdr:to>
      <xdr:col>2</xdr:col>
      <xdr:colOff>723900</xdr:colOff>
      <xdr:row>46</xdr:row>
      <xdr:rowOff>0</xdr:rowOff>
    </xdr:to>
    <xdr:sp macro="" textlink="">
      <xdr:nvSpPr>
        <xdr:cNvPr id="7" name="Line 1"/>
        <xdr:cNvSpPr>
          <a:spLocks noChangeShapeType="1"/>
        </xdr:cNvSpPr>
      </xdr:nvSpPr>
      <xdr:spPr bwMode="auto">
        <a:xfrm>
          <a:off x="1371600" y="9220200"/>
          <a:ext cx="685800" cy="419100"/>
        </a:xfrm>
        <a:custGeom>
          <a:avLst/>
          <a:gdLst>
            <a:gd name="T0" fmla="*/ 0 w 723900"/>
            <a:gd name="T1" fmla="*/ 0 h 454819"/>
            <a:gd name="T2" fmla="*/ 723900 w 723900"/>
            <a:gd name="T3" fmla="*/ 437182 h 454819"/>
            <a:gd name="T4" fmla="*/ 0 60000 65536"/>
            <a:gd name="T5" fmla="*/ 0 60000 65536"/>
          </a:gdLst>
          <a:ahLst/>
          <a:cxnLst>
            <a:cxn ang="T4">
              <a:pos x="T0" y="T1"/>
            </a:cxn>
            <a:cxn ang="T5">
              <a:pos x="T2" y="T3"/>
            </a:cxn>
          </a:cxnLst>
          <a:rect l="0" t="0" r="r" b="b"/>
          <a:pathLst>
            <a:path w="723900" h="454819">
              <a:moveTo>
                <a:pt x="0" y="0"/>
              </a:moveTo>
              <a:cubicBezTo>
                <a:pt x="241300" y="127794"/>
                <a:pt x="482600" y="327025"/>
                <a:pt x="723900" y="4548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50</xdr:row>
      <xdr:rowOff>209550</xdr:rowOff>
    </xdr:from>
    <xdr:to>
      <xdr:col>3</xdr:col>
      <xdr:colOff>19050</xdr:colOff>
      <xdr:row>53</xdr:row>
      <xdr:rowOff>9525</xdr:rowOff>
    </xdr:to>
    <xdr:sp macro="" textlink="">
      <xdr:nvSpPr>
        <xdr:cNvPr id="8" name="Line 1"/>
        <xdr:cNvSpPr>
          <a:spLocks noChangeShapeType="1"/>
        </xdr:cNvSpPr>
      </xdr:nvSpPr>
      <xdr:spPr bwMode="auto">
        <a:xfrm>
          <a:off x="1371600" y="10687050"/>
          <a:ext cx="704850" cy="428625"/>
        </a:xfrm>
        <a:custGeom>
          <a:avLst/>
          <a:gdLst>
            <a:gd name="T0" fmla="*/ 0 w 747712"/>
            <a:gd name="T1" fmla="*/ 0 h 460773"/>
            <a:gd name="T2" fmla="*/ 735867 w 747712"/>
            <a:gd name="T3" fmla="*/ 450138 h 460773"/>
            <a:gd name="T4" fmla="*/ 0 60000 65536"/>
            <a:gd name="T5" fmla="*/ 0 60000 65536"/>
          </a:gdLst>
          <a:ahLst/>
          <a:cxnLst>
            <a:cxn ang="T4">
              <a:pos x="T0" y="T1"/>
            </a:cxn>
            <a:cxn ang="T5">
              <a:pos x="T2" y="T3"/>
            </a:cxn>
          </a:cxnLst>
          <a:rect l="0" t="0" r="r" b="b"/>
          <a:pathLst>
            <a:path w="747712" h="460773">
              <a:moveTo>
                <a:pt x="0" y="0"/>
              </a:moveTo>
              <a:cubicBezTo>
                <a:pt x="241300" y="127794"/>
                <a:pt x="506412" y="332979"/>
                <a:pt x="747712" y="46077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57</xdr:row>
      <xdr:rowOff>209550</xdr:rowOff>
    </xdr:from>
    <xdr:to>
      <xdr:col>2</xdr:col>
      <xdr:colOff>723900</xdr:colOff>
      <xdr:row>60</xdr:row>
      <xdr:rowOff>9525</xdr:rowOff>
    </xdr:to>
    <xdr:sp macro="" textlink="">
      <xdr:nvSpPr>
        <xdr:cNvPr id="9" name="Line 1"/>
        <xdr:cNvSpPr>
          <a:spLocks noChangeShapeType="1"/>
        </xdr:cNvSpPr>
      </xdr:nvSpPr>
      <xdr:spPr bwMode="auto">
        <a:xfrm>
          <a:off x="1371600" y="12153900"/>
          <a:ext cx="685800" cy="428625"/>
        </a:xfrm>
        <a:custGeom>
          <a:avLst/>
          <a:gdLst>
            <a:gd name="T0" fmla="*/ 0 w 723900"/>
            <a:gd name="T1" fmla="*/ 0 h 460772"/>
            <a:gd name="T2" fmla="*/ 723900 w 723900"/>
            <a:gd name="T3" fmla="*/ 450139 h 460772"/>
            <a:gd name="T4" fmla="*/ 0 60000 65536"/>
            <a:gd name="T5" fmla="*/ 0 60000 65536"/>
          </a:gdLst>
          <a:ahLst/>
          <a:cxnLst>
            <a:cxn ang="T4">
              <a:pos x="T0" y="T1"/>
            </a:cxn>
            <a:cxn ang="T5">
              <a:pos x="T2" y="T3"/>
            </a:cxn>
          </a:cxnLst>
          <a:rect l="0" t="0" r="r" b="b"/>
          <a:pathLst>
            <a:path w="723900" h="460772">
              <a:moveTo>
                <a:pt x="0" y="0"/>
              </a:moveTo>
              <a:cubicBezTo>
                <a:pt x="241300" y="127794"/>
                <a:pt x="482600" y="332978"/>
                <a:pt x="723900" y="46077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64</xdr:row>
      <xdr:rowOff>209550</xdr:rowOff>
    </xdr:from>
    <xdr:to>
      <xdr:col>2</xdr:col>
      <xdr:colOff>723900</xdr:colOff>
      <xdr:row>67</xdr:row>
      <xdr:rowOff>0</xdr:rowOff>
    </xdr:to>
    <xdr:sp macro="" textlink="">
      <xdr:nvSpPr>
        <xdr:cNvPr id="10" name="Line 1"/>
        <xdr:cNvSpPr>
          <a:spLocks noChangeShapeType="1"/>
        </xdr:cNvSpPr>
      </xdr:nvSpPr>
      <xdr:spPr bwMode="auto">
        <a:xfrm>
          <a:off x="1371600" y="13620750"/>
          <a:ext cx="685800" cy="419100"/>
        </a:xfrm>
        <a:custGeom>
          <a:avLst/>
          <a:gdLst>
            <a:gd name="T0" fmla="*/ 0 w 723900"/>
            <a:gd name="T1" fmla="*/ 0 h 454819"/>
            <a:gd name="T2" fmla="*/ 723900 w 723900"/>
            <a:gd name="T3" fmla="*/ 437182 h 454819"/>
            <a:gd name="T4" fmla="*/ 0 60000 65536"/>
            <a:gd name="T5" fmla="*/ 0 60000 65536"/>
          </a:gdLst>
          <a:ahLst/>
          <a:cxnLst>
            <a:cxn ang="T4">
              <a:pos x="T0" y="T1"/>
            </a:cxn>
            <a:cxn ang="T5">
              <a:pos x="T2" y="T3"/>
            </a:cxn>
          </a:cxnLst>
          <a:rect l="0" t="0" r="r" b="b"/>
          <a:pathLst>
            <a:path w="723900" h="454819">
              <a:moveTo>
                <a:pt x="0" y="0"/>
              </a:moveTo>
              <a:cubicBezTo>
                <a:pt x="241300" y="127794"/>
                <a:pt x="482600" y="327025"/>
                <a:pt x="723900" y="45481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71</xdr:row>
      <xdr:rowOff>209550</xdr:rowOff>
    </xdr:from>
    <xdr:to>
      <xdr:col>3</xdr:col>
      <xdr:colOff>0</xdr:colOff>
      <xdr:row>74</xdr:row>
      <xdr:rowOff>9525</xdr:rowOff>
    </xdr:to>
    <xdr:sp macro="" textlink="">
      <xdr:nvSpPr>
        <xdr:cNvPr id="11" name="Line 1"/>
        <xdr:cNvSpPr>
          <a:spLocks noChangeShapeType="1"/>
        </xdr:cNvSpPr>
      </xdr:nvSpPr>
      <xdr:spPr bwMode="auto">
        <a:xfrm>
          <a:off x="1371600" y="15087600"/>
          <a:ext cx="685800" cy="428625"/>
        </a:xfrm>
        <a:custGeom>
          <a:avLst/>
          <a:gdLst>
            <a:gd name="T0" fmla="*/ 0 w 729853"/>
            <a:gd name="T1" fmla="*/ 0 h 460772"/>
            <a:gd name="T2" fmla="*/ 715653 w 729853"/>
            <a:gd name="T3" fmla="*/ 450139 h 460772"/>
            <a:gd name="T4" fmla="*/ 0 60000 65536"/>
            <a:gd name="T5" fmla="*/ 0 60000 65536"/>
          </a:gdLst>
          <a:ahLst/>
          <a:cxnLst>
            <a:cxn ang="T4">
              <a:pos x="T0" y="T1"/>
            </a:cxn>
            <a:cxn ang="T5">
              <a:pos x="T2" y="T3"/>
            </a:cxn>
          </a:cxnLst>
          <a:rect l="0" t="0" r="r" b="b"/>
          <a:pathLst>
            <a:path w="729853" h="460772">
              <a:moveTo>
                <a:pt x="0" y="0"/>
              </a:moveTo>
              <a:cubicBezTo>
                <a:pt x="241300" y="127794"/>
                <a:pt x="488553" y="332978"/>
                <a:pt x="729853" y="46077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78</xdr:row>
      <xdr:rowOff>209550</xdr:rowOff>
    </xdr:from>
    <xdr:to>
      <xdr:col>3</xdr:col>
      <xdr:colOff>9525</xdr:colOff>
      <xdr:row>81</xdr:row>
      <xdr:rowOff>9525</xdr:rowOff>
    </xdr:to>
    <xdr:sp macro="" textlink="">
      <xdr:nvSpPr>
        <xdr:cNvPr id="12" name="Line 1"/>
        <xdr:cNvSpPr>
          <a:spLocks noChangeShapeType="1"/>
        </xdr:cNvSpPr>
      </xdr:nvSpPr>
      <xdr:spPr bwMode="auto">
        <a:xfrm>
          <a:off x="1371600" y="16554450"/>
          <a:ext cx="695325" cy="428625"/>
        </a:xfrm>
        <a:custGeom>
          <a:avLst/>
          <a:gdLst>
            <a:gd name="T0" fmla="*/ 0 w 735806"/>
            <a:gd name="T1" fmla="*/ 0 h 460772"/>
            <a:gd name="T2" fmla="*/ 728686 w 735806"/>
            <a:gd name="T3" fmla="*/ 450139 h 460772"/>
            <a:gd name="T4" fmla="*/ 0 60000 65536"/>
            <a:gd name="T5" fmla="*/ 0 60000 65536"/>
          </a:gdLst>
          <a:ahLst/>
          <a:cxnLst>
            <a:cxn ang="T4">
              <a:pos x="T0" y="T1"/>
            </a:cxn>
            <a:cxn ang="T5">
              <a:pos x="T2" y="T3"/>
            </a:cxn>
          </a:cxnLst>
          <a:rect l="0" t="0" r="r" b="b"/>
          <a:pathLst>
            <a:path w="735806" h="460772">
              <a:moveTo>
                <a:pt x="0" y="0"/>
              </a:moveTo>
              <a:cubicBezTo>
                <a:pt x="241300" y="127794"/>
                <a:pt x="494506" y="332978"/>
                <a:pt x="735806" y="46077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85</xdr:row>
      <xdr:rowOff>209550</xdr:rowOff>
    </xdr:from>
    <xdr:to>
      <xdr:col>3</xdr:col>
      <xdr:colOff>9525</xdr:colOff>
      <xdr:row>88</xdr:row>
      <xdr:rowOff>0</xdr:rowOff>
    </xdr:to>
    <xdr:sp macro="" textlink="">
      <xdr:nvSpPr>
        <xdr:cNvPr id="13" name="Line 1"/>
        <xdr:cNvSpPr>
          <a:spLocks noChangeShapeType="1"/>
        </xdr:cNvSpPr>
      </xdr:nvSpPr>
      <xdr:spPr bwMode="auto">
        <a:xfrm>
          <a:off x="1371600" y="18021300"/>
          <a:ext cx="695325" cy="419100"/>
        </a:xfrm>
        <a:custGeom>
          <a:avLst/>
          <a:gdLst>
            <a:gd name="T0" fmla="*/ 0 w 735806"/>
            <a:gd name="T1" fmla="*/ 0 h 454818"/>
            <a:gd name="T2" fmla="*/ 728686 w 735806"/>
            <a:gd name="T3" fmla="*/ 437183 h 454818"/>
            <a:gd name="T4" fmla="*/ 0 60000 65536"/>
            <a:gd name="T5" fmla="*/ 0 60000 65536"/>
          </a:gdLst>
          <a:ahLst/>
          <a:cxnLst>
            <a:cxn ang="T4">
              <a:pos x="T0" y="T1"/>
            </a:cxn>
            <a:cxn ang="T5">
              <a:pos x="T2" y="T3"/>
            </a:cxn>
          </a:cxnLst>
          <a:rect l="0" t="0" r="r" b="b"/>
          <a:pathLst>
            <a:path w="735806" h="454818">
              <a:moveTo>
                <a:pt x="0" y="0"/>
              </a:moveTo>
              <a:cubicBezTo>
                <a:pt x="241300" y="127794"/>
                <a:pt x="494506" y="327024"/>
                <a:pt x="735806" y="45481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92</xdr:row>
      <xdr:rowOff>209550</xdr:rowOff>
    </xdr:from>
    <xdr:to>
      <xdr:col>3</xdr:col>
      <xdr:colOff>9525</xdr:colOff>
      <xdr:row>94</xdr:row>
      <xdr:rowOff>209550</xdr:rowOff>
    </xdr:to>
    <xdr:sp macro="" textlink="">
      <xdr:nvSpPr>
        <xdr:cNvPr id="14" name="Line 1"/>
        <xdr:cNvSpPr>
          <a:spLocks noChangeShapeType="1"/>
        </xdr:cNvSpPr>
      </xdr:nvSpPr>
      <xdr:spPr bwMode="auto">
        <a:xfrm>
          <a:off x="1371600" y="19488150"/>
          <a:ext cx="695325" cy="419100"/>
        </a:xfrm>
        <a:custGeom>
          <a:avLst/>
          <a:gdLst>
            <a:gd name="T0" fmla="*/ 0 w 735806"/>
            <a:gd name="T1" fmla="*/ 0 h 442912"/>
            <a:gd name="T2" fmla="*/ 728686 w 735806"/>
            <a:gd name="T3" fmla="*/ 431110 h 442912"/>
            <a:gd name="T4" fmla="*/ 0 60000 65536"/>
            <a:gd name="T5" fmla="*/ 0 60000 65536"/>
          </a:gdLst>
          <a:ahLst/>
          <a:cxnLst>
            <a:cxn ang="T4">
              <a:pos x="T0" y="T1"/>
            </a:cxn>
            <a:cxn ang="T5">
              <a:pos x="T2" y="T3"/>
            </a:cxn>
          </a:cxnLst>
          <a:rect l="0" t="0" r="r" b="b"/>
          <a:pathLst>
            <a:path w="735806" h="442912">
              <a:moveTo>
                <a:pt x="0" y="0"/>
              </a:moveTo>
              <a:cubicBezTo>
                <a:pt x="241300" y="127794"/>
                <a:pt x="494506" y="315118"/>
                <a:pt x="735806" y="44291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99</xdr:row>
      <xdr:rowOff>209550</xdr:rowOff>
    </xdr:from>
    <xdr:to>
      <xdr:col>3</xdr:col>
      <xdr:colOff>9525</xdr:colOff>
      <xdr:row>102</xdr:row>
      <xdr:rowOff>0</xdr:rowOff>
    </xdr:to>
    <xdr:sp macro="" textlink="">
      <xdr:nvSpPr>
        <xdr:cNvPr id="15" name="Line 1"/>
        <xdr:cNvSpPr>
          <a:spLocks noChangeShapeType="1"/>
        </xdr:cNvSpPr>
      </xdr:nvSpPr>
      <xdr:spPr bwMode="auto">
        <a:xfrm>
          <a:off x="1371600" y="20955000"/>
          <a:ext cx="695325" cy="419100"/>
        </a:xfrm>
        <a:custGeom>
          <a:avLst/>
          <a:gdLst>
            <a:gd name="T0" fmla="*/ 0 w 731482"/>
            <a:gd name="T1" fmla="*/ 0 h 454299"/>
            <a:gd name="T2" fmla="*/ 732997 w 731482"/>
            <a:gd name="T3" fmla="*/ 437716 h 454299"/>
            <a:gd name="T4" fmla="*/ 0 60000 65536"/>
            <a:gd name="T5" fmla="*/ 0 60000 65536"/>
          </a:gdLst>
          <a:ahLst/>
          <a:cxnLst>
            <a:cxn ang="T4">
              <a:pos x="T0" y="T1"/>
            </a:cxn>
            <a:cxn ang="T5">
              <a:pos x="T2" y="T3"/>
            </a:cxn>
          </a:cxnLst>
          <a:rect l="0" t="0" r="r" b="b"/>
          <a:pathLst>
            <a:path w="731482" h="454299">
              <a:moveTo>
                <a:pt x="0" y="0"/>
              </a:moveTo>
              <a:lnTo>
                <a:pt x="731482" y="454299"/>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106</xdr:row>
      <xdr:rowOff>209550</xdr:rowOff>
    </xdr:from>
    <xdr:to>
      <xdr:col>3</xdr:col>
      <xdr:colOff>0</xdr:colOff>
      <xdr:row>109</xdr:row>
      <xdr:rowOff>0</xdr:rowOff>
    </xdr:to>
    <xdr:sp macro="" textlink="">
      <xdr:nvSpPr>
        <xdr:cNvPr id="16" name="Line 1"/>
        <xdr:cNvSpPr>
          <a:spLocks noChangeShapeType="1"/>
        </xdr:cNvSpPr>
      </xdr:nvSpPr>
      <xdr:spPr bwMode="auto">
        <a:xfrm>
          <a:off x="1371600" y="22421850"/>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742950</xdr:colOff>
      <xdr:row>113</xdr:row>
      <xdr:rowOff>209550</xdr:rowOff>
    </xdr:from>
    <xdr:to>
      <xdr:col>3</xdr:col>
      <xdr:colOff>9525</xdr:colOff>
      <xdr:row>115</xdr:row>
      <xdr:rowOff>219075</xdr:rowOff>
    </xdr:to>
    <xdr:sp macro="" textlink="">
      <xdr:nvSpPr>
        <xdr:cNvPr id="17" name="Line 1"/>
        <xdr:cNvSpPr>
          <a:spLocks noChangeShapeType="1"/>
        </xdr:cNvSpPr>
      </xdr:nvSpPr>
      <xdr:spPr bwMode="auto">
        <a:xfrm>
          <a:off x="1371600" y="23888700"/>
          <a:ext cx="695325" cy="419100"/>
        </a:xfrm>
        <a:custGeom>
          <a:avLst/>
          <a:gdLst>
            <a:gd name="T0" fmla="*/ 0 w 732007"/>
            <a:gd name="T1" fmla="*/ 0 h 444432"/>
            <a:gd name="T2" fmla="*/ 734438 w 732007"/>
            <a:gd name="T3" fmla="*/ 451353 h 444432"/>
            <a:gd name="T4" fmla="*/ 0 60000 65536"/>
            <a:gd name="T5" fmla="*/ 0 60000 65536"/>
          </a:gdLst>
          <a:ahLst/>
          <a:cxnLst>
            <a:cxn ang="T4">
              <a:pos x="T0" y="T1"/>
            </a:cxn>
            <a:cxn ang="T5">
              <a:pos x="T2" y="T3"/>
            </a:cxn>
          </a:cxnLst>
          <a:rect l="0" t="0" r="r" b="b"/>
          <a:pathLst>
            <a:path w="732007" h="444432">
              <a:moveTo>
                <a:pt x="0" y="0"/>
              </a:moveTo>
              <a:cubicBezTo>
                <a:pt x="241300" y="152197"/>
                <a:pt x="490707" y="292235"/>
                <a:pt x="732007" y="444432"/>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120</xdr:row>
      <xdr:rowOff>209550</xdr:rowOff>
    </xdr:from>
    <xdr:to>
      <xdr:col>2</xdr:col>
      <xdr:colOff>771525</xdr:colOff>
      <xdr:row>123</xdr:row>
      <xdr:rowOff>0</xdr:rowOff>
    </xdr:to>
    <xdr:sp macro="" textlink="">
      <xdr:nvSpPr>
        <xdr:cNvPr id="18" name="Line 1"/>
        <xdr:cNvSpPr>
          <a:spLocks noChangeShapeType="1"/>
        </xdr:cNvSpPr>
      </xdr:nvSpPr>
      <xdr:spPr bwMode="auto">
        <a:xfrm>
          <a:off x="1371600" y="25355550"/>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127</xdr:row>
      <xdr:rowOff>209550</xdr:rowOff>
    </xdr:from>
    <xdr:to>
      <xdr:col>3</xdr:col>
      <xdr:colOff>0</xdr:colOff>
      <xdr:row>130</xdr:row>
      <xdr:rowOff>0</xdr:rowOff>
    </xdr:to>
    <xdr:sp macro="" textlink="">
      <xdr:nvSpPr>
        <xdr:cNvPr id="19" name="Line 1"/>
        <xdr:cNvSpPr>
          <a:spLocks noChangeShapeType="1"/>
        </xdr:cNvSpPr>
      </xdr:nvSpPr>
      <xdr:spPr bwMode="auto">
        <a:xfrm>
          <a:off x="1371600" y="26822400"/>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714375</xdr:colOff>
      <xdr:row>134</xdr:row>
      <xdr:rowOff>200025</xdr:rowOff>
    </xdr:from>
    <xdr:to>
      <xdr:col>2</xdr:col>
      <xdr:colOff>762000</xdr:colOff>
      <xdr:row>137</xdr:row>
      <xdr:rowOff>0</xdr:rowOff>
    </xdr:to>
    <xdr:sp macro="" textlink="">
      <xdr:nvSpPr>
        <xdr:cNvPr id="20" name="Line 1"/>
        <xdr:cNvSpPr>
          <a:spLocks noChangeShapeType="1"/>
        </xdr:cNvSpPr>
      </xdr:nvSpPr>
      <xdr:spPr bwMode="auto">
        <a:xfrm>
          <a:off x="1371600" y="28279725"/>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141</xdr:row>
      <xdr:rowOff>209550</xdr:rowOff>
    </xdr:from>
    <xdr:to>
      <xdr:col>2</xdr:col>
      <xdr:colOff>771525</xdr:colOff>
      <xdr:row>142</xdr:row>
      <xdr:rowOff>0</xdr:rowOff>
    </xdr:to>
    <xdr:sp macro="" textlink="">
      <xdr:nvSpPr>
        <xdr:cNvPr id="21" name="Line 1"/>
        <xdr:cNvSpPr>
          <a:spLocks noChangeShapeType="1"/>
        </xdr:cNvSpPr>
      </xdr:nvSpPr>
      <xdr:spPr bwMode="auto">
        <a:xfrm>
          <a:off x="1371600" y="29756100"/>
          <a:ext cx="685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30</xdr:row>
      <xdr:rowOff>9525</xdr:rowOff>
    </xdr:from>
    <xdr:to>
      <xdr:col>2</xdr:col>
      <xdr:colOff>723900</xdr:colOff>
      <xdr:row>32</xdr:row>
      <xdr:rowOff>0</xdr:rowOff>
    </xdr:to>
    <xdr:sp macro="" textlink="">
      <xdr:nvSpPr>
        <xdr:cNvPr id="22" name="Line 1"/>
        <xdr:cNvSpPr>
          <a:spLocks noChangeShapeType="1"/>
        </xdr:cNvSpPr>
      </xdr:nvSpPr>
      <xdr:spPr bwMode="auto">
        <a:xfrm>
          <a:off x="1381125" y="6296025"/>
          <a:ext cx="676275" cy="409575"/>
        </a:xfrm>
        <a:custGeom>
          <a:avLst/>
          <a:gdLst>
            <a:gd name="T0" fmla="*/ 0 w 711994"/>
            <a:gd name="T1" fmla="*/ 0 h 432196"/>
            <a:gd name="T2" fmla="*/ 716764 w 711994"/>
            <a:gd name="T3" fmla="*/ 422742 h 432196"/>
            <a:gd name="T4" fmla="*/ 0 60000 65536"/>
            <a:gd name="T5" fmla="*/ 0 60000 65536"/>
          </a:gdLst>
          <a:ahLst/>
          <a:cxnLst>
            <a:cxn ang="T4">
              <a:pos x="T0" y="T1"/>
            </a:cxn>
            <a:cxn ang="T5">
              <a:pos x="T2" y="T3"/>
            </a:cxn>
          </a:cxnLst>
          <a:rect l="0" t="0" r="r" b="b"/>
          <a:pathLst>
            <a:path w="711994" h="432196">
              <a:moveTo>
                <a:pt x="0" y="0"/>
              </a:moveTo>
              <a:lnTo>
                <a:pt x="711994" y="43219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142</xdr:row>
      <xdr:rowOff>0</xdr:rowOff>
    </xdr:from>
    <xdr:to>
      <xdr:col>2</xdr:col>
      <xdr:colOff>771525</xdr:colOff>
      <xdr:row>144</xdr:row>
      <xdr:rowOff>9525</xdr:rowOff>
    </xdr:to>
    <xdr:sp macro="" textlink="">
      <xdr:nvSpPr>
        <xdr:cNvPr id="23" name="Line 1"/>
        <xdr:cNvSpPr>
          <a:spLocks noChangeShapeType="1"/>
        </xdr:cNvSpPr>
      </xdr:nvSpPr>
      <xdr:spPr bwMode="auto">
        <a:xfrm>
          <a:off x="1371600" y="29756100"/>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1"/>
  <sheetViews>
    <sheetView tabSelected="1" view="pageBreakPreview" zoomScale="160" zoomScaleNormal="100" zoomScaleSheetLayoutView="160" workbookViewId="0">
      <selection activeCell="H21" sqref="H21"/>
    </sheetView>
  </sheetViews>
  <sheetFormatPr defaultRowHeight="17.25" customHeight="1"/>
  <cols>
    <col min="1" max="1" width="5.625" style="3" customWidth="1"/>
    <col min="2" max="2" width="9.75" style="1" customWidth="1"/>
    <col min="3" max="3" width="9.5" style="1" customWidth="1"/>
    <col min="4" max="8" width="9.5" style="2" customWidth="1"/>
    <col min="9" max="9" width="50.625" style="1" customWidth="1"/>
    <col min="10" max="16384" width="9" style="1"/>
  </cols>
  <sheetData>
    <row r="1" spans="1:9" ht="17.25" customHeight="1">
      <c r="A1" s="75" t="s">
        <v>184</v>
      </c>
      <c r="B1" s="74" t="s">
        <v>183</v>
      </c>
      <c r="C1" s="74" t="s">
        <v>182</v>
      </c>
      <c r="D1" s="73"/>
      <c r="E1" s="73"/>
      <c r="F1" s="73"/>
      <c r="G1" s="73"/>
      <c r="H1" s="73"/>
      <c r="I1" s="72" t="s">
        <v>181</v>
      </c>
    </row>
    <row r="2" spans="1:9" ht="17.25" customHeight="1" thickBot="1">
      <c r="A2" s="71"/>
      <c r="B2" s="70"/>
      <c r="C2" s="70" t="s">
        <v>180</v>
      </c>
      <c r="D2" s="69"/>
      <c r="E2" s="69"/>
      <c r="F2" s="69"/>
      <c r="G2" s="69"/>
      <c r="H2" s="69"/>
      <c r="I2" s="68"/>
    </row>
    <row r="3" spans="1:9" ht="17.25" customHeight="1">
      <c r="A3" s="67" t="s">
        <v>179</v>
      </c>
      <c r="B3" s="66" t="s">
        <v>178</v>
      </c>
      <c r="C3" s="31" t="s">
        <v>11</v>
      </c>
      <c r="D3" s="45" t="s">
        <v>8</v>
      </c>
      <c r="E3" s="45"/>
      <c r="F3" s="45"/>
      <c r="G3" s="45"/>
      <c r="H3" s="49" t="s">
        <v>3</v>
      </c>
      <c r="I3" s="65" t="s">
        <v>177</v>
      </c>
    </row>
    <row r="4" spans="1:9" ht="17.25" customHeight="1">
      <c r="A4" s="23"/>
      <c r="B4" s="64" t="s">
        <v>176</v>
      </c>
      <c r="C4" s="27" t="s">
        <v>10</v>
      </c>
      <c r="D4" s="26"/>
      <c r="E4" s="26"/>
      <c r="F4" s="26"/>
      <c r="G4" s="26"/>
      <c r="H4" s="25"/>
      <c r="I4" s="57" t="s">
        <v>175</v>
      </c>
    </row>
    <row r="5" spans="1:9" ht="17.25" customHeight="1">
      <c r="A5" s="23"/>
      <c r="B5" s="64" t="s">
        <v>174</v>
      </c>
      <c r="C5" s="21" t="s">
        <v>8</v>
      </c>
      <c r="D5" s="19">
        <v>0</v>
      </c>
      <c r="E5" s="19"/>
      <c r="F5" s="19"/>
      <c r="G5" s="19"/>
      <c r="H5" s="38">
        <f>$B$9</f>
        <v>10</v>
      </c>
      <c r="I5" s="57" t="s">
        <v>173</v>
      </c>
    </row>
    <row r="6" spans="1:9" ht="17.25" customHeight="1">
      <c r="A6" s="23"/>
      <c r="B6" s="64" t="s">
        <v>172</v>
      </c>
      <c r="C6" s="21"/>
      <c r="D6" s="19"/>
      <c r="E6" s="19"/>
      <c r="F6" s="19"/>
      <c r="G6" s="19"/>
      <c r="H6" s="38"/>
      <c r="I6" s="57"/>
    </row>
    <row r="7" spans="1:9" ht="17.25" customHeight="1">
      <c r="A7" s="23"/>
      <c r="B7" s="64" t="s">
        <v>171</v>
      </c>
      <c r="C7" s="21"/>
      <c r="D7" s="19"/>
      <c r="E7" s="19"/>
      <c r="F7" s="19"/>
      <c r="G7" s="19"/>
      <c r="H7" s="38"/>
      <c r="I7" s="57"/>
    </row>
    <row r="8" spans="1:9" ht="17.25" customHeight="1">
      <c r="A8" s="23"/>
      <c r="B8" s="64"/>
      <c r="C8" s="21"/>
      <c r="D8" s="19"/>
      <c r="E8" s="19"/>
      <c r="F8" s="19"/>
      <c r="G8" s="19"/>
      <c r="H8" s="38"/>
      <c r="I8" s="57"/>
    </row>
    <row r="9" spans="1:9" ht="17.25" customHeight="1" thickBot="1">
      <c r="A9" s="23"/>
      <c r="B9" s="63">
        <v>10</v>
      </c>
      <c r="C9" s="14" t="s">
        <v>3</v>
      </c>
      <c r="D9" s="19">
        <f>-$B$9</f>
        <v>-10</v>
      </c>
      <c r="E9" s="19"/>
      <c r="F9" s="19"/>
      <c r="G9" s="19"/>
      <c r="H9" s="38">
        <v>0</v>
      </c>
      <c r="I9" s="17"/>
    </row>
    <row r="10" spans="1:9" ht="17.25" customHeight="1">
      <c r="A10" s="23"/>
      <c r="B10" s="32" t="s">
        <v>170</v>
      </c>
      <c r="C10" s="31" t="s">
        <v>11</v>
      </c>
      <c r="D10" s="45" t="s">
        <v>8</v>
      </c>
      <c r="E10" s="45" t="s">
        <v>6</v>
      </c>
      <c r="F10" s="45" t="s">
        <v>5</v>
      </c>
      <c r="G10" s="45" t="s">
        <v>4</v>
      </c>
      <c r="H10" s="49" t="s">
        <v>3</v>
      </c>
      <c r="I10" s="28"/>
    </row>
    <row r="11" spans="1:9" ht="17.25" customHeight="1">
      <c r="A11" s="23"/>
      <c r="B11" s="22" t="s">
        <v>169</v>
      </c>
      <c r="C11" s="27" t="s">
        <v>10</v>
      </c>
      <c r="D11" s="26"/>
      <c r="E11" s="26"/>
      <c r="F11" s="26"/>
      <c r="G11" s="26"/>
      <c r="H11" s="25"/>
      <c r="I11" s="34" t="s">
        <v>168</v>
      </c>
    </row>
    <row r="12" spans="1:9" ht="17.25" customHeight="1">
      <c r="A12" s="23"/>
      <c r="B12" s="22" t="s">
        <v>167</v>
      </c>
      <c r="C12" s="21" t="s">
        <v>8</v>
      </c>
      <c r="D12" s="19">
        <v>0</v>
      </c>
      <c r="E12" s="20">
        <f>D12+$B$16/4</f>
        <v>2.5</v>
      </c>
      <c r="F12" s="20">
        <f>E12+$B$16/4</f>
        <v>5</v>
      </c>
      <c r="G12" s="20">
        <f>F12+$B$16/4</f>
        <v>7.5</v>
      </c>
      <c r="H12" s="18">
        <f>G12+$B$16/4</f>
        <v>10</v>
      </c>
      <c r="I12" s="34" t="s">
        <v>166</v>
      </c>
    </row>
    <row r="13" spans="1:9" ht="17.25" customHeight="1">
      <c r="A13" s="23"/>
      <c r="B13" s="22" t="s">
        <v>165</v>
      </c>
      <c r="C13" s="21" t="s">
        <v>6</v>
      </c>
      <c r="D13" s="20">
        <f>D12-$B$16/4</f>
        <v>-2.5</v>
      </c>
      <c r="E13" s="19">
        <f>E12-$B$16/4</f>
        <v>0</v>
      </c>
      <c r="F13" s="20">
        <f>F12-$B$16/4</f>
        <v>2.5</v>
      </c>
      <c r="G13" s="20">
        <f>G12-$B$16/4</f>
        <v>5</v>
      </c>
      <c r="H13" s="18">
        <f>H12-$B$16/4</f>
        <v>7.5</v>
      </c>
      <c r="I13" s="62" t="s">
        <v>164</v>
      </c>
    </row>
    <row r="14" spans="1:9" ht="17.25" customHeight="1">
      <c r="A14" s="23"/>
      <c r="B14" s="6" t="s">
        <v>163</v>
      </c>
      <c r="C14" s="21" t="s">
        <v>5</v>
      </c>
      <c r="D14" s="20">
        <f>D13-$B$16/4</f>
        <v>-5</v>
      </c>
      <c r="E14" s="20">
        <f>E13-$B$16/4</f>
        <v>-2.5</v>
      </c>
      <c r="F14" s="19">
        <f>F13-$B$16/4</f>
        <v>0</v>
      </c>
      <c r="G14" s="20">
        <f>G13-$B$16/4</f>
        <v>2.5</v>
      </c>
      <c r="H14" s="18">
        <f>H13-$B$16/4</f>
        <v>5</v>
      </c>
      <c r="I14" s="34" t="s">
        <v>162</v>
      </c>
    </row>
    <row r="15" spans="1:9" ht="17.25" customHeight="1">
      <c r="A15" s="23"/>
      <c r="B15" s="22"/>
      <c r="C15" s="21" t="s">
        <v>4</v>
      </c>
      <c r="D15" s="20">
        <f>D14-$B$16/4</f>
        <v>-7.5</v>
      </c>
      <c r="E15" s="20">
        <f>E14-$B$16/4</f>
        <v>-5</v>
      </c>
      <c r="F15" s="20">
        <f>F14-$B$16/4</f>
        <v>-2.5</v>
      </c>
      <c r="G15" s="19">
        <f>G14-$B$16/4</f>
        <v>0</v>
      </c>
      <c r="H15" s="18">
        <f>H14-$B$16/4</f>
        <v>2.5</v>
      </c>
      <c r="I15" s="34" t="s">
        <v>161</v>
      </c>
    </row>
    <row r="16" spans="1:9" ht="17.25" customHeight="1" thickBot="1">
      <c r="A16" s="23"/>
      <c r="B16" s="15">
        <v>10</v>
      </c>
      <c r="C16" s="54" t="s">
        <v>3</v>
      </c>
      <c r="D16" s="20">
        <f>D15-$B$16/4</f>
        <v>-10</v>
      </c>
      <c r="E16" s="20">
        <f>E15-$B$16/4</f>
        <v>-7.5</v>
      </c>
      <c r="F16" s="20">
        <f>F15-$B$16/4</f>
        <v>-5</v>
      </c>
      <c r="G16" s="20">
        <f>G15-$B$16/4</f>
        <v>-2.5</v>
      </c>
      <c r="H16" s="38">
        <f>H15-$B$16/4</f>
        <v>0</v>
      </c>
      <c r="I16" s="34" t="s">
        <v>160</v>
      </c>
    </row>
    <row r="17" spans="1:9" ht="17.25" customHeight="1">
      <c r="A17" s="23"/>
      <c r="B17" s="32" t="s">
        <v>136</v>
      </c>
      <c r="C17" s="31" t="s">
        <v>11</v>
      </c>
      <c r="D17" s="45" t="s">
        <v>8</v>
      </c>
      <c r="E17" s="45" t="s">
        <v>6</v>
      </c>
      <c r="F17" s="45" t="s">
        <v>5</v>
      </c>
      <c r="G17" s="45" t="s">
        <v>4</v>
      </c>
      <c r="H17" s="49" t="s">
        <v>3</v>
      </c>
      <c r="I17" s="58"/>
    </row>
    <row r="18" spans="1:9" ht="17.25" customHeight="1">
      <c r="A18" s="23"/>
      <c r="B18" s="22" t="s">
        <v>159</v>
      </c>
      <c r="C18" s="27" t="s">
        <v>10</v>
      </c>
      <c r="D18" s="26"/>
      <c r="E18" s="26"/>
      <c r="F18" s="26"/>
      <c r="G18" s="26"/>
      <c r="H18" s="25"/>
      <c r="I18" s="34" t="s">
        <v>158</v>
      </c>
    </row>
    <row r="19" spans="1:9" ht="17.25" customHeight="1">
      <c r="A19" s="23"/>
      <c r="B19" s="22" t="s">
        <v>148</v>
      </c>
      <c r="C19" s="21" t="s">
        <v>8</v>
      </c>
      <c r="D19" s="19">
        <v>0</v>
      </c>
      <c r="E19" s="19">
        <f>D19+$B$23/4</f>
        <v>3</v>
      </c>
      <c r="F19" s="19">
        <f>E19+$B$23/4</f>
        <v>6</v>
      </c>
      <c r="G19" s="19">
        <f>F19+$B$23/4</f>
        <v>9</v>
      </c>
      <c r="H19" s="38">
        <f>G19+$B$23/4</f>
        <v>12</v>
      </c>
      <c r="I19" s="34" t="s">
        <v>157</v>
      </c>
    </row>
    <row r="20" spans="1:9" ht="17.25" customHeight="1">
      <c r="A20" s="23"/>
      <c r="B20" s="22"/>
      <c r="C20" s="21" t="s">
        <v>6</v>
      </c>
      <c r="D20" s="19">
        <f>D19-$B$23/4</f>
        <v>-3</v>
      </c>
      <c r="E20" s="19">
        <f>D19</f>
        <v>0</v>
      </c>
      <c r="F20" s="19">
        <f>E20+$B$23/4</f>
        <v>3</v>
      </c>
      <c r="G20" s="19">
        <f>F20+$B$23/4</f>
        <v>6</v>
      </c>
      <c r="H20" s="38">
        <f>G20+$B$23/4</f>
        <v>9</v>
      </c>
      <c r="I20" s="34" t="s">
        <v>156</v>
      </c>
    </row>
    <row r="21" spans="1:9" ht="17.25" customHeight="1">
      <c r="A21" s="23"/>
      <c r="B21" s="22"/>
      <c r="C21" s="21" t="s">
        <v>5</v>
      </c>
      <c r="D21" s="19">
        <f>D20-$B$23/4</f>
        <v>-6</v>
      </c>
      <c r="E21" s="19">
        <f>E20-$B$23/4</f>
        <v>-3</v>
      </c>
      <c r="F21" s="19">
        <f>D19</f>
        <v>0</v>
      </c>
      <c r="G21" s="19">
        <f>F21+$B$23/4</f>
        <v>3</v>
      </c>
      <c r="H21" s="38">
        <f>G21+$B$23/4</f>
        <v>6</v>
      </c>
      <c r="I21" s="34" t="s">
        <v>155</v>
      </c>
    </row>
    <row r="22" spans="1:9" ht="17.25" customHeight="1">
      <c r="A22" s="23"/>
      <c r="B22" s="22"/>
      <c r="C22" s="21" t="s">
        <v>4</v>
      </c>
      <c r="D22" s="19">
        <f>D21-$B$23/4</f>
        <v>-9</v>
      </c>
      <c r="E22" s="19">
        <f>E21-$B$23/4</f>
        <v>-6</v>
      </c>
      <c r="F22" s="19">
        <f>F21-$B$23/4</f>
        <v>-3</v>
      </c>
      <c r="G22" s="19">
        <f>D19</f>
        <v>0</v>
      </c>
      <c r="H22" s="38">
        <f>G22+$B$23/4</f>
        <v>3</v>
      </c>
      <c r="I22" s="34" t="s">
        <v>154</v>
      </c>
    </row>
    <row r="23" spans="1:9" ht="17.25" customHeight="1" thickBot="1">
      <c r="A23" s="23"/>
      <c r="B23" s="15">
        <v>12</v>
      </c>
      <c r="C23" s="54" t="s">
        <v>3</v>
      </c>
      <c r="D23" s="61">
        <f>D22-$B$23/4</f>
        <v>-12</v>
      </c>
      <c r="E23" s="61">
        <f>E22-$B$23/4</f>
        <v>-9</v>
      </c>
      <c r="F23" s="61">
        <f>F22-$B$23/4</f>
        <v>-6</v>
      </c>
      <c r="G23" s="61">
        <f>G22-$B$23/4</f>
        <v>-3</v>
      </c>
      <c r="H23" s="52">
        <f>D19</f>
        <v>0</v>
      </c>
      <c r="I23" s="34" t="s">
        <v>153</v>
      </c>
    </row>
    <row r="24" spans="1:9" ht="17.25" customHeight="1">
      <c r="A24" s="23"/>
      <c r="B24" s="32" t="s">
        <v>152</v>
      </c>
      <c r="C24" s="31" t="s">
        <v>11</v>
      </c>
      <c r="D24" s="45" t="s">
        <v>151</v>
      </c>
      <c r="E24" s="45" t="s">
        <v>6</v>
      </c>
      <c r="F24" s="45" t="s">
        <v>5</v>
      </c>
      <c r="G24" s="45" t="s">
        <v>4</v>
      </c>
      <c r="H24" s="49" t="s">
        <v>3</v>
      </c>
      <c r="I24" s="58"/>
    </row>
    <row r="25" spans="1:9" ht="17.25" customHeight="1">
      <c r="A25" s="23"/>
      <c r="B25" s="22" t="s">
        <v>150</v>
      </c>
      <c r="C25" s="27" t="s">
        <v>10</v>
      </c>
      <c r="D25" s="26"/>
      <c r="E25" s="26"/>
      <c r="F25" s="26"/>
      <c r="G25" s="26"/>
      <c r="H25" s="25"/>
      <c r="I25" s="34" t="s">
        <v>149</v>
      </c>
    </row>
    <row r="26" spans="1:9" ht="17.25" customHeight="1">
      <c r="A26" s="23"/>
      <c r="B26" s="22" t="s">
        <v>148</v>
      </c>
      <c r="C26" s="21" t="s">
        <v>8</v>
      </c>
      <c r="D26" s="19">
        <v>0</v>
      </c>
      <c r="E26" s="20">
        <f>D26+$B$30/4</f>
        <v>7.5</v>
      </c>
      <c r="F26" s="20">
        <f>E26+$B$30/4</f>
        <v>15</v>
      </c>
      <c r="G26" s="20">
        <f>F26+$B$30/4</f>
        <v>22.5</v>
      </c>
      <c r="H26" s="18">
        <f>G26+$B$30/4</f>
        <v>30</v>
      </c>
      <c r="I26" s="34" t="s">
        <v>147</v>
      </c>
    </row>
    <row r="27" spans="1:9" ht="17.25" customHeight="1">
      <c r="A27" s="23"/>
      <c r="B27" s="22"/>
      <c r="C27" s="21" t="s">
        <v>6</v>
      </c>
      <c r="D27" s="20">
        <f>D26-$B$30/4</f>
        <v>-7.5</v>
      </c>
      <c r="E27" s="19">
        <f>D26</f>
        <v>0</v>
      </c>
      <c r="F27" s="20">
        <f>E27+$B$30/4</f>
        <v>7.5</v>
      </c>
      <c r="G27" s="20">
        <f>F27+$B$30/4</f>
        <v>15</v>
      </c>
      <c r="H27" s="18">
        <f>G27+$B$30/4</f>
        <v>22.5</v>
      </c>
      <c r="I27" s="34" t="s">
        <v>146</v>
      </c>
    </row>
    <row r="28" spans="1:9" ht="17.25" customHeight="1">
      <c r="A28" s="23"/>
      <c r="B28" s="22"/>
      <c r="C28" s="21" t="s">
        <v>5</v>
      </c>
      <c r="D28" s="20">
        <f>D27-$B$30/4</f>
        <v>-15</v>
      </c>
      <c r="E28" s="20">
        <f>E27-$B$30/4</f>
        <v>-7.5</v>
      </c>
      <c r="F28" s="19">
        <f>D26</f>
        <v>0</v>
      </c>
      <c r="G28" s="20">
        <f>F28+$B$30/4</f>
        <v>7.5</v>
      </c>
      <c r="H28" s="18">
        <f>G28+$B$30/4</f>
        <v>15</v>
      </c>
      <c r="I28" s="34" t="s">
        <v>145</v>
      </c>
    </row>
    <row r="29" spans="1:9" ht="17.25" customHeight="1">
      <c r="A29" s="23"/>
      <c r="B29" s="22"/>
      <c r="C29" s="21" t="s">
        <v>4</v>
      </c>
      <c r="D29" s="20">
        <f>D28-$B$30/4</f>
        <v>-22.5</v>
      </c>
      <c r="E29" s="20">
        <f>E28-$B$30/4</f>
        <v>-15</v>
      </c>
      <c r="F29" s="20">
        <f>F28-$B$30/4</f>
        <v>-7.5</v>
      </c>
      <c r="G29" s="19">
        <f>D26</f>
        <v>0</v>
      </c>
      <c r="H29" s="18">
        <f>G29+$B$30/4</f>
        <v>7.5</v>
      </c>
      <c r="I29" s="34" t="s">
        <v>144</v>
      </c>
    </row>
    <row r="30" spans="1:9" ht="17.25" customHeight="1" thickBot="1">
      <c r="A30" s="23"/>
      <c r="B30" s="15">
        <v>30</v>
      </c>
      <c r="C30" s="14" t="s">
        <v>3</v>
      </c>
      <c r="D30" s="13">
        <f>D29-$B$30/4</f>
        <v>-30</v>
      </c>
      <c r="E30" s="13">
        <f>E29-$B$30/4</f>
        <v>-22.5</v>
      </c>
      <c r="F30" s="13">
        <f>F29-$B$30/4</f>
        <v>-15</v>
      </c>
      <c r="G30" s="13">
        <f>G29-$B$30/4</f>
        <v>-7.5</v>
      </c>
      <c r="H30" s="12">
        <f>D26</f>
        <v>0</v>
      </c>
      <c r="I30" s="34" t="s">
        <v>143</v>
      </c>
    </row>
    <row r="31" spans="1:9" ht="17.25" customHeight="1">
      <c r="A31" s="23"/>
      <c r="B31" s="32" t="s">
        <v>142</v>
      </c>
      <c r="C31" s="31" t="s">
        <v>11</v>
      </c>
      <c r="D31" s="45" t="s">
        <v>8</v>
      </c>
      <c r="E31" s="45" t="s">
        <v>6</v>
      </c>
      <c r="F31" s="45" t="s">
        <v>5</v>
      </c>
      <c r="G31" s="45" t="s">
        <v>4</v>
      </c>
      <c r="H31" s="49" t="s">
        <v>3</v>
      </c>
      <c r="I31" s="58"/>
    </row>
    <row r="32" spans="1:9" ht="17.25" customHeight="1">
      <c r="A32" s="23"/>
      <c r="B32" s="22" t="s">
        <v>141</v>
      </c>
      <c r="C32" s="27" t="s">
        <v>10</v>
      </c>
      <c r="D32" s="26"/>
      <c r="E32" s="26"/>
      <c r="F32" s="26"/>
      <c r="G32" s="26"/>
      <c r="H32" s="25"/>
      <c r="I32" s="34" t="s">
        <v>140</v>
      </c>
    </row>
    <row r="33" spans="1:9" ht="17.25" customHeight="1">
      <c r="A33" s="23"/>
      <c r="B33" s="22" t="s">
        <v>139</v>
      </c>
      <c r="C33" s="21" t="s">
        <v>8</v>
      </c>
      <c r="D33" s="19">
        <v>0</v>
      </c>
      <c r="E33" s="19">
        <f>D33+$B$37/4</f>
        <v>5</v>
      </c>
      <c r="F33" s="19">
        <f>E33+$B$37/4</f>
        <v>10</v>
      </c>
      <c r="G33" s="19">
        <f>F33+$B$37/4</f>
        <v>15</v>
      </c>
      <c r="H33" s="38">
        <f>G33+$B$37/4</f>
        <v>20</v>
      </c>
      <c r="I33" s="34" t="s">
        <v>138</v>
      </c>
    </row>
    <row r="34" spans="1:9" ht="17.25" customHeight="1">
      <c r="A34" s="23"/>
      <c r="B34" s="22" t="s">
        <v>137</v>
      </c>
      <c r="C34" s="21" t="s">
        <v>6</v>
      </c>
      <c r="D34" s="19">
        <f>D33-$B$37/4</f>
        <v>-5</v>
      </c>
      <c r="E34" s="19">
        <f>D34+$B$37/4</f>
        <v>0</v>
      </c>
      <c r="F34" s="19">
        <f>E34+$B$37/4</f>
        <v>5</v>
      </c>
      <c r="G34" s="19">
        <f>F34+$B$37/4</f>
        <v>10</v>
      </c>
      <c r="H34" s="38">
        <f>G34+$B$37/4</f>
        <v>15</v>
      </c>
      <c r="I34" s="17"/>
    </row>
    <row r="35" spans="1:9" ht="17.25" customHeight="1">
      <c r="A35" s="23"/>
      <c r="B35" s="22" t="s">
        <v>136</v>
      </c>
      <c r="C35" s="21" t="s">
        <v>5</v>
      </c>
      <c r="D35" s="19">
        <f>D34-$B$37/4</f>
        <v>-10</v>
      </c>
      <c r="E35" s="19">
        <f>D35+$B$37/4</f>
        <v>-5</v>
      </c>
      <c r="F35" s="19">
        <f>E35+$B$37/4</f>
        <v>0</v>
      </c>
      <c r="G35" s="19">
        <f>F35+$B$37/4</f>
        <v>5</v>
      </c>
      <c r="H35" s="38">
        <f>G35+$B$37/4</f>
        <v>10</v>
      </c>
      <c r="I35" s="17"/>
    </row>
    <row r="36" spans="1:9" ht="17.25" customHeight="1">
      <c r="A36" s="23"/>
      <c r="B36" s="22" t="s">
        <v>135</v>
      </c>
      <c r="C36" s="21" t="s">
        <v>4</v>
      </c>
      <c r="D36" s="19">
        <f>D35-$B$37/4</f>
        <v>-15</v>
      </c>
      <c r="E36" s="19">
        <f>D36+$B$37/4</f>
        <v>-10</v>
      </c>
      <c r="F36" s="19">
        <f>E36+$B$37/4</f>
        <v>-5</v>
      </c>
      <c r="G36" s="19">
        <f>F36+$B$37/4</f>
        <v>0</v>
      </c>
      <c r="H36" s="38">
        <f>G36+$B$37/4</f>
        <v>5</v>
      </c>
      <c r="I36" s="17"/>
    </row>
    <row r="37" spans="1:9" ht="17.25" customHeight="1" thickBot="1">
      <c r="A37" s="23"/>
      <c r="B37" s="15">
        <v>20</v>
      </c>
      <c r="C37" s="14" t="s">
        <v>3</v>
      </c>
      <c r="D37" s="35">
        <f>D36-$B$37/4</f>
        <v>-20</v>
      </c>
      <c r="E37" s="19">
        <f>D37+$B$37/4</f>
        <v>-15</v>
      </c>
      <c r="F37" s="19">
        <f>E37+$B$37/4</f>
        <v>-10</v>
      </c>
      <c r="G37" s="19">
        <f>F37+$B$37/4</f>
        <v>-5</v>
      </c>
      <c r="H37" s="38">
        <f>G37+$B$37/4</f>
        <v>0</v>
      </c>
      <c r="I37" s="11"/>
    </row>
    <row r="38" spans="1:9" ht="17.25" customHeight="1">
      <c r="A38" s="23"/>
      <c r="B38" s="32" t="s">
        <v>134</v>
      </c>
      <c r="C38" s="31" t="s">
        <v>11</v>
      </c>
      <c r="D38" s="45" t="s">
        <v>8</v>
      </c>
      <c r="E38" s="45" t="s">
        <v>6</v>
      </c>
      <c r="F38" s="45" t="s">
        <v>5</v>
      </c>
      <c r="G38" s="45" t="s">
        <v>4</v>
      </c>
      <c r="H38" s="49" t="s">
        <v>3</v>
      </c>
      <c r="I38" s="58"/>
    </row>
    <row r="39" spans="1:9" ht="17.25" customHeight="1">
      <c r="A39" s="23"/>
      <c r="B39" s="22" t="s">
        <v>133</v>
      </c>
      <c r="C39" s="27" t="s">
        <v>10</v>
      </c>
      <c r="D39" s="26"/>
      <c r="E39" s="26"/>
      <c r="F39" s="26"/>
      <c r="G39" s="26"/>
      <c r="H39" s="25"/>
      <c r="I39" s="48" t="s">
        <v>132</v>
      </c>
    </row>
    <row r="40" spans="1:9" ht="17.25" customHeight="1">
      <c r="A40" s="23"/>
      <c r="B40" s="59" t="s">
        <v>131</v>
      </c>
      <c r="C40" s="21" t="s">
        <v>8</v>
      </c>
      <c r="D40" s="19">
        <v>0</v>
      </c>
      <c r="E40" s="19">
        <f>D40+$B$44/4</f>
        <v>5</v>
      </c>
      <c r="F40" s="19">
        <f>E40+$B$44/4</f>
        <v>10</v>
      </c>
      <c r="G40" s="19">
        <f>F40+$B$44/4</f>
        <v>15</v>
      </c>
      <c r="H40" s="38">
        <f>G40+$B$44/4</f>
        <v>20</v>
      </c>
      <c r="I40" s="48"/>
    </row>
    <row r="41" spans="1:9" ht="17.25" customHeight="1">
      <c r="A41" s="23"/>
      <c r="B41" s="60" t="s">
        <v>130</v>
      </c>
      <c r="C41" s="21" t="s">
        <v>6</v>
      </c>
      <c r="D41" s="19">
        <f>D40-$B$44/4</f>
        <v>-5</v>
      </c>
      <c r="E41" s="19">
        <f>D40</f>
        <v>0</v>
      </c>
      <c r="F41" s="19">
        <f>E41+$B$44/4</f>
        <v>5</v>
      </c>
      <c r="G41" s="19">
        <f>F41+$B$44/4</f>
        <v>10</v>
      </c>
      <c r="H41" s="38">
        <f>G41+$B$44/4</f>
        <v>15</v>
      </c>
      <c r="I41" s="17"/>
    </row>
    <row r="42" spans="1:9" ht="17.25" customHeight="1">
      <c r="A42" s="23"/>
      <c r="B42" s="59" t="s">
        <v>129</v>
      </c>
      <c r="C42" s="21" t="s">
        <v>5</v>
      </c>
      <c r="D42" s="19">
        <f>D41-$B$44/4</f>
        <v>-10</v>
      </c>
      <c r="E42" s="19">
        <f>E41-$B$44/4</f>
        <v>-5</v>
      </c>
      <c r="F42" s="19">
        <f>D40</f>
        <v>0</v>
      </c>
      <c r="G42" s="19">
        <f>F42+$B$44/4</f>
        <v>5</v>
      </c>
      <c r="H42" s="38">
        <f>G42+$B$44/4</f>
        <v>10</v>
      </c>
      <c r="I42" s="17"/>
    </row>
    <row r="43" spans="1:9" ht="17.25" customHeight="1">
      <c r="A43" s="23"/>
      <c r="B43" s="59" t="s">
        <v>128</v>
      </c>
      <c r="C43" s="21" t="s">
        <v>4</v>
      </c>
      <c r="D43" s="19">
        <f>D42-$B$44/4</f>
        <v>-15</v>
      </c>
      <c r="E43" s="19">
        <f>E42-$B$44/4</f>
        <v>-10</v>
      </c>
      <c r="F43" s="19">
        <f>F42-$B$44/4</f>
        <v>-5</v>
      </c>
      <c r="G43" s="19">
        <f>D40</f>
        <v>0</v>
      </c>
      <c r="H43" s="38">
        <f>G43+$B$44/4</f>
        <v>5</v>
      </c>
      <c r="I43" s="17"/>
    </row>
    <row r="44" spans="1:9" ht="17.25" customHeight="1" thickBot="1">
      <c r="A44" s="37"/>
      <c r="B44" s="15">
        <v>20</v>
      </c>
      <c r="C44" s="14" t="s">
        <v>3</v>
      </c>
      <c r="D44" s="35">
        <f>D43-$B$44/4</f>
        <v>-20</v>
      </c>
      <c r="E44" s="35">
        <f>E43-$B$44/4</f>
        <v>-15</v>
      </c>
      <c r="F44" s="35">
        <f>F43-$B$44/4</f>
        <v>-10</v>
      </c>
      <c r="G44" s="35">
        <f>G43-$B$44/4</f>
        <v>-5</v>
      </c>
      <c r="H44" s="12">
        <f>D40</f>
        <v>0</v>
      </c>
      <c r="I44" s="11"/>
    </row>
    <row r="45" spans="1:9" ht="17.25" customHeight="1" thickTop="1">
      <c r="A45" s="33" t="s">
        <v>127</v>
      </c>
      <c r="B45" s="32" t="s">
        <v>126</v>
      </c>
      <c r="C45" s="31" t="s">
        <v>11</v>
      </c>
      <c r="D45" s="45" t="s">
        <v>8</v>
      </c>
      <c r="E45" s="45" t="s">
        <v>6</v>
      </c>
      <c r="F45" s="45" t="s">
        <v>5</v>
      </c>
      <c r="G45" s="45" t="s">
        <v>4</v>
      </c>
      <c r="H45" s="49" t="s">
        <v>3</v>
      </c>
      <c r="I45" s="58"/>
    </row>
    <row r="46" spans="1:9" ht="17.25" customHeight="1">
      <c r="A46" s="23"/>
      <c r="B46" s="22" t="s">
        <v>125</v>
      </c>
      <c r="C46" s="27" t="s">
        <v>10</v>
      </c>
      <c r="D46" s="26"/>
      <c r="E46" s="26"/>
      <c r="F46" s="26"/>
      <c r="G46" s="26"/>
      <c r="H46" s="25"/>
      <c r="I46" s="34" t="s">
        <v>124</v>
      </c>
    </row>
    <row r="47" spans="1:9" ht="17.25" customHeight="1">
      <c r="A47" s="23"/>
      <c r="B47" s="43" t="s">
        <v>123</v>
      </c>
      <c r="C47" s="21" t="s">
        <v>8</v>
      </c>
      <c r="D47" s="19">
        <v>0</v>
      </c>
      <c r="E47" s="20">
        <f>D47+$B$51/4</f>
        <v>7.5</v>
      </c>
      <c r="F47" s="20">
        <f>E47+$B$51/4</f>
        <v>15</v>
      </c>
      <c r="G47" s="20">
        <f>F47+$B$51/4</f>
        <v>22.5</v>
      </c>
      <c r="H47" s="18">
        <f>G47+$B$51/4</f>
        <v>30</v>
      </c>
      <c r="I47" s="34" t="s">
        <v>122</v>
      </c>
    </row>
    <row r="48" spans="1:9" ht="17.25" customHeight="1">
      <c r="A48" s="23"/>
      <c r="B48" s="22" t="s">
        <v>121</v>
      </c>
      <c r="C48" s="21" t="s">
        <v>6</v>
      </c>
      <c r="D48" s="20">
        <f>D47-$B$51/4</f>
        <v>-7.5</v>
      </c>
      <c r="E48" s="19">
        <v>0</v>
      </c>
      <c r="F48" s="20">
        <f>E48+$B$51/4</f>
        <v>7.5</v>
      </c>
      <c r="G48" s="20">
        <f>F48+$B$51/4</f>
        <v>15</v>
      </c>
      <c r="H48" s="18">
        <f>G48+$B$51/4</f>
        <v>22.5</v>
      </c>
      <c r="I48" s="34" t="s">
        <v>120</v>
      </c>
    </row>
    <row r="49" spans="1:9" ht="17.25" customHeight="1">
      <c r="A49" s="23"/>
      <c r="B49" s="43" t="s">
        <v>119</v>
      </c>
      <c r="C49" s="21" t="s">
        <v>5</v>
      </c>
      <c r="D49" s="20">
        <f>D48-$B$51/4</f>
        <v>-15</v>
      </c>
      <c r="E49" s="20">
        <f>E48-$B$51/4</f>
        <v>-7.5</v>
      </c>
      <c r="F49" s="19">
        <v>0</v>
      </c>
      <c r="G49" s="20">
        <f>F49+$B$51/4</f>
        <v>7.5</v>
      </c>
      <c r="H49" s="18">
        <f>G49+$B$51/4</f>
        <v>15</v>
      </c>
      <c r="I49" s="34" t="s">
        <v>118</v>
      </c>
    </row>
    <row r="50" spans="1:9" ht="17.25" customHeight="1">
      <c r="A50" s="23"/>
      <c r="B50" s="22" t="s">
        <v>77</v>
      </c>
      <c r="C50" s="21" t="s">
        <v>4</v>
      </c>
      <c r="D50" s="20">
        <f>D49-$B$51/4</f>
        <v>-22.5</v>
      </c>
      <c r="E50" s="20">
        <f>E49-$B$51/4</f>
        <v>-15</v>
      </c>
      <c r="F50" s="20">
        <f>F49-$B$51/4</f>
        <v>-7.5</v>
      </c>
      <c r="G50" s="19">
        <v>0</v>
      </c>
      <c r="H50" s="18">
        <f>G50+$B$51/4</f>
        <v>7.5</v>
      </c>
      <c r="I50" s="34" t="s">
        <v>117</v>
      </c>
    </row>
    <row r="51" spans="1:9" ht="17.25" customHeight="1" thickBot="1">
      <c r="A51" s="23"/>
      <c r="B51" s="15">
        <v>30</v>
      </c>
      <c r="C51" s="14" t="s">
        <v>3</v>
      </c>
      <c r="D51" s="20">
        <f>D50-$B$51/4</f>
        <v>-30</v>
      </c>
      <c r="E51" s="20">
        <f>E50-$B$51/4</f>
        <v>-22.5</v>
      </c>
      <c r="F51" s="20">
        <f>F50-$B$51/4</f>
        <v>-15</v>
      </c>
      <c r="G51" s="20">
        <f>G50-$B$51/4</f>
        <v>-7.5</v>
      </c>
      <c r="H51" s="38">
        <v>0</v>
      </c>
      <c r="I51" s="34" t="s">
        <v>116</v>
      </c>
    </row>
    <row r="52" spans="1:9" ht="17.25" customHeight="1">
      <c r="A52" s="23"/>
      <c r="B52" s="32" t="s">
        <v>87</v>
      </c>
      <c r="C52" s="31" t="s">
        <v>11</v>
      </c>
      <c r="D52" s="45" t="s">
        <v>8</v>
      </c>
      <c r="E52" s="45" t="s">
        <v>6</v>
      </c>
      <c r="F52" s="45" t="s">
        <v>5</v>
      </c>
      <c r="G52" s="45" t="s">
        <v>4</v>
      </c>
      <c r="H52" s="49" t="s">
        <v>3</v>
      </c>
      <c r="I52" s="58"/>
    </row>
    <row r="53" spans="1:9" ht="17.25" customHeight="1">
      <c r="A53" s="23"/>
      <c r="B53" s="22" t="s">
        <v>86</v>
      </c>
      <c r="C53" s="27" t="s">
        <v>10</v>
      </c>
      <c r="D53" s="26"/>
      <c r="E53" s="26"/>
      <c r="F53" s="26"/>
      <c r="G53" s="26"/>
      <c r="H53" s="25"/>
      <c r="I53" s="34" t="s">
        <v>115</v>
      </c>
    </row>
    <row r="54" spans="1:9" ht="17.25" customHeight="1">
      <c r="A54" s="23"/>
      <c r="B54" s="43" t="s">
        <v>114</v>
      </c>
      <c r="C54" s="21" t="s">
        <v>8</v>
      </c>
      <c r="D54" s="19">
        <v>0</v>
      </c>
      <c r="E54" s="19">
        <f>D54+$B$58/4</f>
        <v>5</v>
      </c>
      <c r="F54" s="19">
        <f>E54+$B$58/4</f>
        <v>10</v>
      </c>
      <c r="G54" s="19">
        <f>F54+$B$58/4</f>
        <v>15</v>
      </c>
      <c r="H54" s="38">
        <f>G54+$B$58/4</f>
        <v>20</v>
      </c>
      <c r="I54" s="34" t="s">
        <v>113</v>
      </c>
    </row>
    <row r="55" spans="1:9" ht="17.25" customHeight="1">
      <c r="A55" s="23"/>
      <c r="B55" s="22" t="s">
        <v>112</v>
      </c>
      <c r="C55" s="21" t="s">
        <v>6</v>
      </c>
      <c r="D55" s="19">
        <f>D54-$B$58/4</f>
        <v>-5</v>
      </c>
      <c r="E55" s="19">
        <v>0</v>
      </c>
      <c r="F55" s="19">
        <f>E55+$B$58/4</f>
        <v>5</v>
      </c>
      <c r="G55" s="19">
        <f>F55+$B$58/4</f>
        <v>10</v>
      </c>
      <c r="H55" s="38">
        <f>G55+$B$58/4</f>
        <v>15</v>
      </c>
      <c r="I55" s="34" t="s">
        <v>111</v>
      </c>
    </row>
    <row r="56" spans="1:9" ht="17.25" customHeight="1">
      <c r="A56" s="23"/>
      <c r="B56" s="4"/>
      <c r="C56" s="21" t="s">
        <v>5</v>
      </c>
      <c r="D56" s="19">
        <f>D55-$B$58/4</f>
        <v>-10</v>
      </c>
      <c r="E56" s="19">
        <f>E55-$B$58/4</f>
        <v>-5</v>
      </c>
      <c r="F56" s="19">
        <v>0</v>
      </c>
      <c r="G56" s="19">
        <f>F56+$B$58/4</f>
        <v>5</v>
      </c>
      <c r="H56" s="38">
        <f>G56+$B$58/4</f>
        <v>10</v>
      </c>
      <c r="I56" s="34" t="s">
        <v>110</v>
      </c>
    </row>
    <row r="57" spans="1:9" ht="17.25" customHeight="1">
      <c r="A57" s="23"/>
      <c r="B57" s="22"/>
      <c r="C57" s="21" t="s">
        <v>4</v>
      </c>
      <c r="D57" s="19">
        <f>D56-$B$58/4</f>
        <v>-15</v>
      </c>
      <c r="E57" s="19">
        <f>E56-$B$58/4</f>
        <v>-10</v>
      </c>
      <c r="F57" s="19">
        <f>F56-$B$58/4</f>
        <v>-5</v>
      </c>
      <c r="G57" s="19">
        <v>0</v>
      </c>
      <c r="H57" s="38">
        <f>G57+$B$58/4</f>
        <v>5</v>
      </c>
      <c r="I57" s="34" t="s">
        <v>109</v>
      </c>
    </row>
    <row r="58" spans="1:9" ht="17.25" customHeight="1" thickBot="1">
      <c r="A58" s="23"/>
      <c r="B58" s="15">
        <v>20</v>
      </c>
      <c r="C58" s="14" t="s">
        <v>3</v>
      </c>
      <c r="D58" s="19">
        <f>D57-$B$58/4</f>
        <v>-20</v>
      </c>
      <c r="E58" s="19">
        <f>E57-$B$58/4</f>
        <v>-15</v>
      </c>
      <c r="F58" s="19">
        <f>F57-$B$58/4</f>
        <v>-10</v>
      </c>
      <c r="G58" s="19">
        <f>G57-$B$58/4</f>
        <v>-5</v>
      </c>
      <c r="H58" s="38">
        <v>0</v>
      </c>
      <c r="I58" s="34" t="s">
        <v>108</v>
      </c>
    </row>
    <row r="59" spans="1:9" ht="17.25" customHeight="1">
      <c r="A59" s="23"/>
      <c r="B59" s="32" t="s">
        <v>36</v>
      </c>
      <c r="C59" s="31" t="s">
        <v>11</v>
      </c>
      <c r="D59" s="45" t="s">
        <v>8</v>
      </c>
      <c r="E59" s="45" t="s">
        <v>6</v>
      </c>
      <c r="F59" s="45" t="s">
        <v>5</v>
      </c>
      <c r="G59" s="45" t="s">
        <v>4</v>
      </c>
      <c r="H59" s="49" t="s">
        <v>3</v>
      </c>
      <c r="I59" s="58"/>
    </row>
    <row r="60" spans="1:9" ht="17.25" customHeight="1">
      <c r="A60" s="23"/>
      <c r="B60" s="22" t="s">
        <v>107</v>
      </c>
      <c r="C60" s="27" t="s">
        <v>10</v>
      </c>
      <c r="D60" s="26"/>
      <c r="E60" s="26"/>
      <c r="F60" s="26"/>
      <c r="G60" s="26"/>
      <c r="H60" s="25"/>
      <c r="I60" s="34" t="s">
        <v>106</v>
      </c>
    </row>
    <row r="61" spans="1:9" ht="17.25" customHeight="1">
      <c r="A61" s="23"/>
      <c r="B61" s="22" t="s">
        <v>105</v>
      </c>
      <c r="C61" s="21" t="s">
        <v>8</v>
      </c>
      <c r="D61" s="19">
        <v>0</v>
      </c>
      <c r="E61" s="19">
        <f>D61+$B$65/4</f>
        <v>5</v>
      </c>
      <c r="F61" s="19">
        <f>E61+$B$65/4</f>
        <v>10</v>
      </c>
      <c r="G61" s="19">
        <f>F61+$B$65/4</f>
        <v>15</v>
      </c>
      <c r="H61" s="38">
        <f>G61+$B$65/4</f>
        <v>20</v>
      </c>
      <c r="I61" s="34" t="s">
        <v>32</v>
      </c>
    </row>
    <row r="62" spans="1:9" ht="17.25" customHeight="1">
      <c r="A62" s="23"/>
      <c r="B62" s="22" t="s">
        <v>90</v>
      </c>
      <c r="C62" s="21" t="s">
        <v>6</v>
      </c>
      <c r="D62" s="19">
        <f>D61-$B$65/4</f>
        <v>-5</v>
      </c>
      <c r="E62" s="19">
        <v>0</v>
      </c>
      <c r="F62" s="19">
        <f>E62+$B$65/4</f>
        <v>5</v>
      </c>
      <c r="G62" s="19">
        <f>F62+$B$65/4</f>
        <v>10</v>
      </c>
      <c r="H62" s="38">
        <f>G62+$B$65/4</f>
        <v>15</v>
      </c>
      <c r="I62" s="34" t="s">
        <v>30</v>
      </c>
    </row>
    <row r="63" spans="1:9" ht="17.25" customHeight="1">
      <c r="A63" s="23"/>
      <c r="B63" s="22"/>
      <c r="C63" s="21" t="s">
        <v>5</v>
      </c>
      <c r="D63" s="19">
        <f>D62-$B$65/4</f>
        <v>-10</v>
      </c>
      <c r="E63" s="19">
        <f>E62-$B$65/4</f>
        <v>-5</v>
      </c>
      <c r="F63" s="19">
        <v>0</v>
      </c>
      <c r="G63" s="19">
        <f>F63+$B$65/4</f>
        <v>5</v>
      </c>
      <c r="H63" s="38">
        <f>G63+$B$65/4</f>
        <v>10</v>
      </c>
      <c r="I63" s="34" t="s">
        <v>28</v>
      </c>
    </row>
    <row r="64" spans="1:9" ht="17.25" customHeight="1">
      <c r="A64" s="23"/>
      <c r="B64" s="22"/>
      <c r="C64" s="21" t="s">
        <v>4</v>
      </c>
      <c r="D64" s="19">
        <f>D63-$B$65/4</f>
        <v>-15</v>
      </c>
      <c r="E64" s="19">
        <f>E63-$B$65/4</f>
        <v>-10</v>
      </c>
      <c r="F64" s="19">
        <f>F63-$B$65/4</f>
        <v>-5</v>
      </c>
      <c r="G64" s="19">
        <f>G63-$B$65/4</f>
        <v>0</v>
      </c>
      <c r="H64" s="38">
        <f>G64+$B$65/4</f>
        <v>5</v>
      </c>
      <c r="I64" s="34" t="s">
        <v>26</v>
      </c>
    </row>
    <row r="65" spans="1:9" ht="17.25" customHeight="1" thickBot="1">
      <c r="A65" s="23"/>
      <c r="B65" s="15">
        <v>20</v>
      </c>
      <c r="C65" s="14" t="s">
        <v>3</v>
      </c>
      <c r="D65" s="19">
        <f>D64-$B$65/4</f>
        <v>-20</v>
      </c>
      <c r="E65" s="19">
        <f>E64-$B$65/4</f>
        <v>-15</v>
      </c>
      <c r="F65" s="19">
        <f>F64-$B$65/4</f>
        <v>-10</v>
      </c>
      <c r="G65" s="19">
        <f>G64-$B$65/4</f>
        <v>-5</v>
      </c>
      <c r="H65" s="38">
        <v>0</v>
      </c>
      <c r="I65" s="34" t="s">
        <v>25</v>
      </c>
    </row>
    <row r="66" spans="1:9" ht="17.25" customHeight="1">
      <c r="A66" s="23"/>
      <c r="B66" s="32" t="s">
        <v>104</v>
      </c>
      <c r="C66" s="31" t="s">
        <v>11</v>
      </c>
      <c r="D66" s="45" t="s">
        <v>8</v>
      </c>
      <c r="E66" s="45" t="s">
        <v>6</v>
      </c>
      <c r="F66" s="45" t="s">
        <v>5</v>
      </c>
      <c r="G66" s="45" t="s">
        <v>4</v>
      </c>
      <c r="H66" s="49" t="s">
        <v>3</v>
      </c>
      <c r="I66" s="58"/>
    </row>
    <row r="67" spans="1:9" ht="17.25" customHeight="1">
      <c r="A67" s="23"/>
      <c r="B67" s="22" t="s">
        <v>103</v>
      </c>
      <c r="C67" s="27" t="s">
        <v>10</v>
      </c>
      <c r="D67" s="26"/>
      <c r="E67" s="26"/>
      <c r="F67" s="26"/>
      <c r="G67" s="26"/>
      <c r="H67" s="25"/>
      <c r="I67" s="34" t="s">
        <v>102</v>
      </c>
    </row>
    <row r="68" spans="1:9" ht="17.25" customHeight="1">
      <c r="A68" s="23"/>
      <c r="B68" s="22" t="s">
        <v>82</v>
      </c>
      <c r="C68" s="21" t="s">
        <v>8</v>
      </c>
      <c r="D68" s="19">
        <v>0</v>
      </c>
      <c r="E68" s="20">
        <f>D68+$B$72/4</f>
        <v>2.5</v>
      </c>
      <c r="F68" s="20">
        <f>E68+$B$72/4</f>
        <v>5</v>
      </c>
      <c r="G68" s="20">
        <f>F68+$B$72/4</f>
        <v>7.5</v>
      </c>
      <c r="H68" s="18">
        <f>G68+$B$72/4</f>
        <v>10</v>
      </c>
      <c r="I68" s="34" t="s">
        <v>101</v>
      </c>
    </row>
    <row r="69" spans="1:9" ht="17.25" customHeight="1">
      <c r="A69" s="23"/>
      <c r="B69" s="22" t="s">
        <v>100</v>
      </c>
      <c r="C69" s="21" t="s">
        <v>6</v>
      </c>
      <c r="D69" s="20">
        <f>D68-$B$72/4</f>
        <v>-2.5</v>
      </c>
      <c r="E69" s="19">
        <v>0</v>
      </c>
      <c r="F69" s="20">
        <f>E69+$B$72/4</f>
        <v>2.5</v>
      </c>
      <c r="G69" s="20">
        <f>F69+$B$72/4</f>
        <v>5</v>
      </c>
      <c r="H69" s="18">
        <f>G69+$B$72/4</f>
        <v>7.5</v>
      </c>
      <c r="I69" s="34" t="s">
        <v>99</v>
      </c>
    </row>
    <row r="70" spans="1:9" ht="17.25" customHeight="1">
      <c r="A70" s="23"/>
      <c r="B70" s="22" t="s">
        <v>98</v>
      </c>
      <c r="C70" s="21" t="s">
        <v>5</v>
      </c>
      <c r="D70" s="20">
        <f>D69-$B$72/4</f>
        <v>-5</v>
      </c>
      <c r="E70" s="20">
        <f>E69-$B$72/4</f>
        <v>-2.5</v>
      </c>
      <c r="F70" s="19">
        <v>0</v>
      </c>
      <c r="G70" s="20">
        <f>F70+$B$72/4</f>
        <v>2.5</v>
      </c>
      <c r="H70" s="18">
        <f>G70+$B$72/4</f>
        <v>5</v>
      </c>
      <c r="I70" s="34" t="s">
        <v>97</v>
      </c>
    </row>
    <row r="71" spans="1:9" ht="17.25" customHeight="1">
      <c r="A71" s="23"/>
      <c r="B71" s="22"/>
      <c r="C71" s="21" t="s">
        <v>4</v>
      </c>
      <c r="D71" s="20">
        <f>D70-$B$72/4</f>
        <v>-7.5</v>
      </c>
      <c r="E71" s="20">
        <f>E70-$B$72/4</f>
        <v>-5</v>
      </c>
      <c r="F71" s="20">
        <f>F70-$B$72/4</f>
        <v>-2.5</v>
      </c>
      <c r="G71" s="19">
        <v>0</v>
      </c>
      <c r="H71" s="18">
        <f>G71+$B$72/4</f>
        <v>2.5</v>
      </c>
      <c r="I71" s="34" t="s">
        <v>96</v>
      </c>
    </row>
    <row r="72" spans="1:9" ht="17.25" customHeight="1" thickBot="1">
      <c r="A72" s="23"/>
      <c r="B72" s="15">
        <v>10</v>
      </c>
      <c r="C72" s="14" t="s">
        <v>3</v>
      </c>
      <c r="D72" s="20">
        <f>D71-$B$72/4</f>
        <v>-10</v>
      </c>
      <c r="E72" s="20">
        <f>E71-$B$72/4</f>
        <v>-7.5</v>
      </c>
      <c r="F72" s="20">
        <f>F71-$B$72/4</f>
        <v>-5</v>
      </c>
      <c r="G72" s="20">
        <f>G71-$B$72/4</f>
        <v>-2.5</v>
      </c>
      <c r="H72" s="38">
        <v>0</v>
      </c>
      <c r="I72" s="34" t="s">
        <v>95</v>
      </c>
    </row>
    <row r="73" spans="1:9" ht="17.25" customHeight="1">
      <c r="A73" s="23"/>
      <c r="B73" s="32" t="s">
        <v>92</v>
      </c>
      <c r="C73" s="31" t="s">
        <v>11</v>
      </c>
      <c r="D73" s="45" t="s">
        <v>8</v>
      </c>
      <c r="E73" s="45" t="s">
        <v>6</v>
      </c>
      <c r="F73" s="45" t="s">
        <v>5</v>
      </c>
      <c r="G73" s="45" t="s">
        <v>4</v>
      </c>
      <c r="H73" s="49" t="s">
        <v>3</v>
      </c>
      <c r="I73" s="58"/>
    </row>
    <row r="74" spans="1:9" ht="17.25" customHeight="1">
      <c r="A74" s="23"/>
      <c r="B74" s="22" t="s">
        <v>39</v>
      </c>
      <c r="C74" s="27" t="s">
        <v>10</v>
      </c>
      <c r="D74" s="26"/>
      <c r="E74" s="26"/>
      <c r="F74" s="26"/>
      <c r="G74" s="26"/>
      <c r="H74" s="25"/>
      <c r="I74" s="34" t="s">
        <v>94</v>
      </c>
    </row>
    <row r="75" spans="1:9" ht="17.25" customHeight="1">
      <c r="A75" s="23"/>
      <c r="B75" s="22" t="s">
        <v>46</v>
      </c>
      <c r="C75" s="21" t="s">
        <v>8</v>
      </c>
      <c r="D75" s="19">
        <v>0</v>
      </c>
      <c r="E75" s="19">
        <f>D75+$B$79/4</f>
        <v>5</v>
      </c>
      <c r="F75" s="19">
        <f>E75+$B$79/4</f>
        <v>10</v>
      </c>
      <c r="G75" s="19">
        <f>F75+$B$79/4</f>
        <v>15</v>
      </c>
      <c r="H75" s="38">
        <f>G75+$B$79/4</f>
        <v>20</v>
      </c>
      <c r="I75" s="34" t="s">
        <v>32</v>
      </c>
    </row>
    <row r="76" spans="1:9" ht="17.25" customHeight="1">
      <c r="A76" s="23"/>
      <c r="B76" s="22" t="s">
        <v>36</v>
      </c>
      <c r="C76" s="21" t="s">
        <v>6</v>
      </c>
      <c r="D76" s="19">
        <f>D75-$B$79/4</f>
        <v>-5</v>
      </c>
      <c r="E76" s="19">
        <v>0</v>
      </c>
      <c r="F76" s="19">
        <f>E76+$B$79/4</f>
        <v>5</v>
      </c>
      <c r="G76" s="19">
        <f>F76+$B$79/4</f>
        <v>10</v>
      </c>
      <c r="H76" s="38">
        <f>G76+$B$79/4</f>
        <v>15</v>
      </c>
      <c r="I76" s="34" t="s">
        <v>93</v>
      </c>
    </row>
    <row r="77" spans="1:9" ht="17.25" customHeight="1">
      <c r="A77" s="23"/>
      <c r="B77" s="22" t="s">
        <v>92</v>
      </c>
      <c r="C77" s="21" t="s">
        <v>5</v>
      </c>
      <c r="D77" s="19">
        <f>D76-$B$79/4</f>
        <v>-10</v>
      </c>
      <c r="E77" s="19">
        <f>E76-$B$79/4</f>
        <v>-5</v>
      </c>
      <c r="F77" s="19">
        <v>0</v>
      </c>
      <c r="G77" s="19">
        <f>F77+$B$79/4</f>
        <v>5</v>
      </c>
      <c r="H77" s="38">
        <f>G77+$B$79/4</f>
        <v>10</v>
      </c>
      <c r="I77" s="34" t="s">
        <v>91</v>
      </c>
    </row>
    <row r="78" spans="1:9" ht="17.25" customHeight="1">
      <c r="A78" s="23"/>
      <c r="B78" s="22" t="s">
        <v>90</v>
      </c>
      <c r="C78" s="21" t="s">
        <v>4</v>
      </c>
      <c r="D78" s="19">
        <f>D77-$B$79/4</f>
        <v>-15</v>
      </c>
      <c r="E78" s="19">
        <f>E77-$B$79/4</f>
        <v>-10</v>
      </c>
      <c r="F78" s="19">
        <f>F77-$B$79/4</f>
        <v>-5</v>
      </c>
      <c r="G78" s="19">
        <v>0</v>
      </c>
      <c r="H78" s="38">
        <f>G78+$B$79/4</f>
        <v>5</v>
      </c>
      <c r="I78" s="34" t="s">
        <v>89</v>
      </c>
    </row>
    <row r="79" spans="1:9" ht="17.25" customHeight="1" thickBot="1">
      <c r="A79" s="23"/>
      <c r="B79" s="15">
        <v>20</v>
      </c>
      <c r="C79" s="14" t="s">
        <v>3</v>
      </c>
      <c r="D79" s="19">
        <f>D78-$B$79/4</f>
        <v>-20</v>
      </c>
      <c r="E79" s="19">
        <f>E78-$B$79/4</f>
        <v>-15</v>
      </c>
      <c r="F79" s="19">
        <f>F78-$B$79/4</f>
        <v>-10</v>
      </c>
      <c r="G79" s="19">
        <f>G78-$B$79/4</f>
        <v>-5</v>
      </c>
      <c r="H79" s="38">
        <v>0</v>
      </c>
      <c r="I79" s="34" t="s">
        <v>88</v>
      </c>
    </row>
    <row r="80" spans="1:9" ht="17.25" customHeight="1">
      <c r="A80" s="23"/>
      <c r="B80" s="32" t="s">
        <v>87</v>
      </c>
      <c r="C80" s="31" t="s">
        <v>11</v>
      </c>
      <c r="D80" s="45" t="s">
        <v>8</v>
      </c>
      <c r="E80" s="45" t="s">
        <v>6</v>
      </c>
      <c r="F80" s="45" t="s">
        <v>5</v>
      </c>
      <c r="G80" s="45" t="s">
        <v>4</v>
      </c>
      <c r="H80" s="49" t="s">
        <v>3</v>
      </c>
      <c r="I80" s="28"/>
    </row>
    <row r="81" spans="1:9" ht="17.25" customHeight="1">
      <c r="A81" s="23"/>
      <c r="B81" s="22" t="s">
        <v>86</v>
      </c>
      <c r="C81" s="27" t="s">
        <v>10</v>
      </c>
      <c r="D81" s="26"/>
      <c r="E81" s="26"/>
      <c r="F81" s="26"/>
      <c r="G81" s="26"/>
      <c r="H81" s="25"/>
      <c r="I81" s="34" t="s">
        <v>85</v>
      </c>
    </row>
    <row r="82" spans="1:9" ht="17.25" customHeight="1">
      <c r="A82" s="23"/>
      <c r="B82" s="22" t="s">
        <v>84</v>
      </c>
      <c r="C82" s="21" t="s">
        <v>8</v>
      </c>
      <c r="D82" s="19">
        <v>0</v>
      </c>
      <c r="E82" s="20">
        <f>D82+$B$86/4</f>
        <v>2.5</v>
      </c>
      <c r="F82" s="20">
        <f>E82+$B$86/4</f>
        <v>5</v>
      </c>
      <c r="G82" s="20">
        <f>F82+$B$86/4</f>
        <v>7.5</v>
      </c>
      <c r="H82" s="18">
        <f>G82+$B$86/4</f>
        <v>10</v>
      </c>
      <c r="I82" s="57"/>
    </row>
    <row r="83" spans="1:9" ht="17.25" customHeight="1">
      <c r="A83" s="23"/>
      <c r="B83" s="22" t="s">
        <v>46</v>
      </c>
      <c r="C83" s="21" t="s">
        <v>6</v>
      </c>
      <c r="D83" s="20">
        <f>D82-$B$86/4</f>
        <v>-2.5</v>
      </c>
      <c r="E83" s="19">
        <v>0</v>
      </c>
      <c r="F83" s="20">
        <f>E83+$B$86/4</f>
        <v>2.5</v>
      </c>
      <c r="G83" s="20">
        <f>F83+$B$86/4</f>
        <v>5</v>
      </c>
      <c r="H83" s="18">
        <f>G83+$B$86/4</f>
        <v>7.5</v>
      </c>
      <c r="I83" s="57"/>
    </row>
    <row r="84" spans="1:9" ht="17.25" customHeight="1">
      <c r="A84" s="23"/>
      <c r="B84" s="22" t="s">
        <v>83</v>
      </c>
      <c r="C84" s="21" t="s">
        <v>5</v>
      </c>
      <c r="D84" s="20">
        <f>D83-$B$86/4</f>
        <v>-5</v>
      </c>
      <c r="E84" s="20">
        <f>E83-$B$86/4</f>
        <v>-2.5</v>
      </c>
      <c r="F84" s="19">
        <v>0</v>
      </c>
      <c r="G84" s="20">
        <f>F84+$B$86/4</f>
        <v>2.5</v>
      </c>
      <c r="H84" s="18">
        <f>G84+$B$86/4</f>
        <v>5</v>
      </c>
      <c r="I84" s="57"/>
    </row>
    <row r="85" spans="1:9" ht="17.25" customHeight="1">
      <c r="A85" s="23"/>
      <c r="B85" s="22" t="s">
        <v>82</v>
      </c>
      <c r="C85" s="21" t="s">
        <v>4</v>
      </c>
      <c r="D85" s="20">
        <f>D84-$B$86/4</f>
        <v>-7.5</v>
      </c>
      <c r="E85" s="20">
        <f>E84-$B$86/4</f>
        <v>-5</v>
      </c>
      <c r="F85" s="20">
        <f>F84-$B$86/4</f>
        <v>-2.5</v>
      </c>
      <c r="G85" s="19">
        <v>0</v>
      </c>
      <c r="H85" s="18">
        <f>G85+$B$86/4</f>
        <v>2.5</v>
      </c>
      <c r="I85" s="57"/>
    </row>
    <row r="86" spans="1:9" ht="17.25" customHeight="1" thickBot="1">
      <c r="A86" s="37"/>
      <c r="B86" s="15">
        <v>10</v>
      </c>
      <c r="C86" s="14" t="s">
        <v>3</v>
      </c>
      <c r="D86" s="13">
        <f>D85-$B$86/4</f>
        <v>-10</v>
      </c>
      <c r="E86" s="13">
        <f>E85-$B$86/4</f>
        <v>-7.5</v>
      </c>
      <c r="F86" s="13">
        <f>F85-$B$86/4</f>
        <v>-5</v>
      </c>
      <c r="G86" s="13">
        <f>G85-$B$86/4</f>
        <v>-2.5</v>
      </c>
      <c r="H86" s="12">
        <v>0</v>
      </c>
      <c r="I86" s="11"/>
    </row>
    <row r="87" spans="1:9" ht="17.25" customHeight="1" thickTop="1">
      <c r="A87" s="33" t="s">
        <v>81</v>
      </c>
      <c r="B87" s="32" t="s">
        <v>80</v>
      </c>
      <c r="C87" s="31" t="s">
        <v>11</v>
      </c>
      <c r="D87" s="45" t="s">
        <v>8</v>
      </c>
      <c r="E87" s="45" t="s">
        <v>6</v>
      </c>
      <c r="F87" s="45" t="s">
        <v>5</v>
      </c>
      <c r="G87" s="45" t="s">
        <v>4</v>
      </c>
      <c r="H87" s="49" t="s">
        <v>3</v>
      </c>
      <c r="I87" s="28"/>
    </row>
    <row r="88" spans="1:9" ht="17.25" customHeight="1">
      <c r="A88" s="23"/>
      <c r="B88" s="22" t="s">
        <v>79</v>
      </c>
      <c r="C88" s="27" t="s">
        <v>10</v>
      </c>
      <c r="D88" s="26"/>
      <c r="E88" s="26"/>
      <c r="F88" s="26"/>
      <c r="G88" s="26"/>
      <c r="H88" s="25"/>
      <c r="I88" s="34" t="s">
        <v>78</v>
      </c>
    </row>
    <row r="89" spans="1:9" ht="17.25" customHeight="1">
      <c r="A89" s="23"/>
      <c r="B89" s="22" t="s">
        <v>77</v>
      </c>
      <c r="C89" s="21" t="s">
        <v>8</v>
      </c>
      <c r="D89" s="19">
        <v>0</v>
      </c>
      <c r="E89" s="19">
        <f>D89+$B$93/4</f>
        <v>2</v>
      </c>
      <c r="F89" s="19">
        <f>E89+$B$93/4</f>
        <v>4</v>
      </c>
      <c r="G89" s="19">
        <f>F89+$B$93/4</f>
        <v>6</v>
      </c>
      <c r="H89" s="38">
        <f>G89+$B$93/4</f>
        <v>8</v>
      </c>
      <c r="I89" s="56"/>
    </row>
    <row r="90" spans="1:9" ht="17.25" customHeight="1">
      <c r="A90" s="23"/>
      <c r="B90" s="22"/>
      <c r="C90" s="21" t="s">
        <v>6</v>
      </c>
      <c r="D90" s="19">
        <f>D89-$B$93/4</f>
        <v>-2</v>
      </c>
      <c r="E90" s="19">
        <f>D89</f>
        <v>0</v>
      </c>
      <c r="F90" s="19">
        <f>E90+$B$93/4</f>
        <v>2</v>
      </c>
      <c r="G90" s="19">
        <f>F90+$B$93/4</f>
        <v>4</v>
      </c>
      <c r="H90" s="38">
        <f>G90+$B$93/4</f>
        <v>6</v>
      </c>
      <c r="I90" s="56"/>
    </row>
    <row r="91" spans="1:9" ht="17.25" customHeight="1">
      <c r="A91" s="23"/>
      <c r="B91" s="22"/>
      <c r="C91" s="21" t="s">
        <v>5</v>
      </c>
      <c r="D91" s="19">
        <f>D90-$B$93/4</f>
        <v>-4</v>
      </c>
      <c r="E91" s="19">
        <f>E90-$B$93/4</f>
        <v>-2</v>
      </c>
      <c r="F91" s="19">
        <f>D89</f>
        <v>0</v>
      </c>
      <c r="G91" s="19">
        <f>F91+$B$93/4</f>
        <v>2</v>
      </c>
      <c r="H91" s="38">
        <f>G91+$B$93/4</f>
        <v>4</v>
      </c>
      <c r="I91" s="56"/>
    </row>
    <row r="92" spans="1:9" ht="17.25" customHeight="1">
      <c r="A92" s="23"/>
      <c r="B92" s="22"/>
      <c r="C92" s="21" t="s">
        <v>4</v>
      </c>
      <c r="D92" s="19">
        <f>D91-$B$93/4</f>
        <v>-6</v>
      </c>
      <c r="E92" s="19">
        <f>E91-$B$93/4</f>
        <v>-4</v>
      </c>
      <c r="F92" s="19">
        <f>F91-$B$93/4</f>
        <v>-2</v>
      </c>
      <c r="G92" s="19">
        <f>D89</f>
        <v>0</v>
      </c>
      <c r="H92" s="38">
        <f>G92+$B$93/4</f>
        <v>2</v>
      </c>
      <c r="I92" s="56"/>
    </row>
    <row r="93" spans="1:9" ht="17.25" customHeight="1" thickBot="1">
      <c r="A93" s="23"/>
      <c r="B93" s="15">
        <v>8</v>
      </c>
      <c r="C93" s="14" t="s">
        <v>3</v>
      </c>
      <c r="D93" s="35">
        <f>D92-$B$93/4</f>
        <v>-8</v>
      </c>
      <c r="E93" s="35">
        <f>E92-$B$93/4</f>
        <v>-6</v>
      </c>
      <c r="F93" s="35">
        <f>F92-$B$93/4</f>
        <v>-4</v>
      </c>
      <c r="G93" s="35">
        <f>G92-$B$93/4</f>
        <v>-2</v>
      </c>
      <c r="H93" s="12">
        <f>D89</f>
        <v>0</v>
      </c>
      <c r="I93" s="11"/>
    </row>
    <row r="94" spans="1:9" ht="17.25" customHeight="1">
      <c r="A94" s="23"/>
      <c r="B94" s="32" t="s">
        <v>76</v>
      </c>
      <c r="C94" s="31" t="s">
        <v>11</v>
      </c>
      <c r="D94" s="45" t="s">
        <v>8</v>
      </c>
      <c r="E94" s="45" t="s">
        <v>6</v>
      </c>
      <c r="F94" s="45" t="s">
        <v>5</v>
      </c>
      <c r="G94" s="45" t="s">
        <v>4</v>
      </c>
      <c r="H94" s="49" t="s">
        <v>3</v>
      </c>
      <c r="I94" s="28"/>
    </row>
    <row r="95" spans="1:9" ht="17.25" customHeight="1">
      <c r="A95" s="23"/>
      <c r="B95" s="22" t="s">
        <v>75</v>
      </c>
      <c r="C95" s="27" t="s">
        <v>10</v>
      </c>
      <c r="D95" s="26"/>
      <c r="E95" s="26"/>
      <c r="F95" s="26"/>
      <c r="G95" s="26"/>
      <c r="H95" s="25"/>
      <c r="I95" s="34" t="s">
        <v>74</v>
      </c>
    </row>
    <row r="96" spans="1:9" ht="17.25" customHeight="1">
      <c r="A96" s="23"/>
      <c r="B96" s="22" t="s">
        <v>73</v>
      </c>
      <c r="C96" s="21" t="s">
        <v>8</v>
      </c>
      <c r="D96" s="19">
        <v>0</v>
      </c>
      <c r="E96" s="20">
        <f>D96+$B$100/4</f>
        <v>3.75</v>
      </c>
      <c r="F96" s="20">
        <f>E96+$B$100/4</f>
        <v>7.5</v>
      </c>
      <c r="G96" s="20">
        <f>F96+$B$100/4</f>
        <v>11.25</v>
      </c>
      <c r="H96" s="18">
        <f>G96+$B$100/4</f>
        <v>15</v>
      </c>
      <c r="I96" s="56"/>
    </row>
    <row r="97" spans="1:9" ht="17.25" customHeight="1">
      <c r="A97" s="23"/>
      <c r="B97" s="22" t="s">
        <v>72</v>
      </c>
      <c r="C97" s="21" t="s">
        <v>6</v>
      </c>
      <c r="D97" s="20">
        <f>D96-$B$100/4</f>
        <v>-3.75</v>
      </c>
      <c r="E97" s="19">
        <f>D96</f>
        <v>0</v>
      </c>
      <c r="F97" s="20">
        <f>E97+$B$100/4</f>
        <v>3.75</v>
      </c>
      <c r="G97" s="20">
        <f>F97+$B$100/4</f>
        <v>7.5</v>
      </c>
      <c r="H97" s="18">
        <f>G97+$B$100/4</f>
        <v>11.25</v>
      </c>
      <c r="I97" s="56"/>
    </row>
    <row r="98" spans="1:9" ht="17.25" customHeight="1">
      <c r="A98" s="23"/>
      <c r="B98" s="22" t="s">
        <v>71</v>
      </c>
      <c r="C98" s="21" t="s">
        <v>5</v>
      </c>
      <c r="D98" s="20">
        <f>D97-$B$100/4</f>
        <v>-7.5</v>
      </c>
      <c r="E98" s="20">
        <f>E97-$B$100/4</f>
        <v>-3.75</v>
      </c>
      <c r="F98" s="19">
        <f>D96</f>
        <v>0</v>
      </c>
      <c r="G98" s="20">
        <f>F98+$B$100/4</f>
        <v>3.75</v>
      </c>
      <c r="H98" s="18">
        <f>G98+$B$100/4</f>
        <v>7.5</v>
      </c>
      <c r="I98" s="56"/>
    </row>
    <row r="99" spans="1:9" ht="17.25" customHeight="1">
      <c r="A99" s="23"/>
      <c r="B99" s="22"/>
      <c r="C99" s="21" t="s">
        <v>4</v>
      </c>
      <c r="D99" s="20">
        <f>D98-$B$100/4</f>
        <v>-11.25</v>
      </c>
      <c r="E99" s="20">
        <f>E98-$B$100/4</f>
        <v>-7.5</v>
      </c>
      <c r="F99" s="20">
        <f>F98-$B$100/4</f>
        <v>-3.75</v>
      </c>
      <c r="G99" s="19">
        <f>D96</f>
        <v>0</v>
      </c>
      <c r="H99" s="18">
        <f>G99+$B$100/4</f>
        <v>3.75</v>
      </c>
      <c r="I99" s="56"/>
    </row>
    <row r="100" spans="1:9" ht="17.25" customHeight="1" thickBot="1">
      <c r="A100" s="23"/>
      <c r="B100" s="15">
        <v>15</v>
      </c>
      <c r="C100" s="14" t="s">
        <v>3</v>
      </c>
      <c r="D100" s="13">
        <f>D99-$B$100/4</f>
        <v>-15</v>
      </c>
      <c r="E100" s="13">
        <f>E99-$B$100/4</f>
        <v>-11.25</v>
      </c>
      <c r="F100" s="13">
        <f>F99-$B$100/4</f>
        <v>-7.5</v>
      </c>
      <c r="G100" s="13">
        <f>G99-$B$100/4</f>
        <v>-3.75</v>
      </c>
      <c r="H100" s="12">
        <f>H99-$B$100/4</f>
        <v>0</v>
      </c>
      <c r="I100" s="17"/>
    </row>
    <row r="101" spans="1:9" ht="17.25" customHeight="1">
      <c r="A101" s="23"/>
      <c r="B101" s="32" t="s">
        <v>70</v>
      </c>
      <c r="C101" s="31" t="s">
        <v>11</v>
      </c>
      <c r="D101" s="45" t="s">
        <v>8</v>
      </c>
      <c r="E101" s="45" t="s">
        <v>6</v>
      </c>
      <c r="F101" s="45" t="s">
        <v>5</v>
      </c>
      <c r="G101" s="45" t="s">
        <v>4</v>
      </c>
      <c r="H101" s="49" t="s">
        <v>3</v>
      </c>
      <c r="I101" s="28"/>
    </row>
    <row r="102" spans="1:9" ht="17.25" customHeight="1">
      <c r="A102" s="23"/>
      <c r="B102" s="22" t="s">
        <v>69</v>
      </c>
      <c r="C102" s="27" t="s">
        <v>10</v>
      </c>
      <c r="D102" s="26"/>
      <c r="E102" s="26"/>
      <c r="F102" s="26"/>
      <c r="G102" s="26"/>
      <c r="H102" s="25"/>
      <c r="I102" s="34" t="s">
        <v>68</v>
      </c>
    </row>
    <row r="103" spans="1:9" ht="17.25" customHeight="1">
      <c r="A103" s="23"/>
      <c r="B103" s="22"/>
      <c r="C103" s="21" t="s">
        <v>8</v>
      </c>
      <c r="D103" s="19">
        <v>0</v>
      </c>
      <c r="E103" s="20">
        <f>D103+$B$107/4</f>
        <v>2.5</v>
      </c>
      <c r="F103" s="20">
        <f>E103+$B$107/4</f>
        <v>5</v>
      </c>
      <c r="G103" s="20">
        <f>F103+$B$107/4</f>
        <v>7.5</v>
      </c>
      <c r="H103" s="18">
        <f>G103+$B$107/4</f>
        <v>10</v>
      </c>
      <c r="I103" s="56"/>
    </row>
    <row r="104" spans="1:9" ht="17.25" customHeight="1">
      <c r="A104" s="23"/>
      <c r="B104" s="22"/>
      <c r="C104" s="21" t="s">
        <v>6</v>
      </c>
      <c r="D104" s="20">
        <f>D103-$B$107/4</f>
        <v>-2.5</v>
      </c>
      <c r="E104" s="19">
        <f>D103</f>
        <v>0</v>
      </c>
      <c r="F104" s="20">
        <f>E104+$B$107/4</f>
        <v>2.5</v>
      </c>
      <c r="G104" s="20">
        <f>F104+$B$107/4</f>
        <v>5</v>
      </c>
      <c r="H104" s="18">
        <f>G104+$B$107/4</f>
        <v>7.5</v>
      </c>
      <c r="I104" s="56"/>
    </row>
    <row r="105" spans="1:9" ht="17.25" customHeight="1">
      <c r="A105" s="23"/>
      <c r="B105" s="22"/>
      <c r="C105" s="21" t="s">
        <v>5</v>
      </c>
      <c r="D105" s="20">
        <f>D104-$B$107/4</f>
        <v>-5</v>
      </c>
      <c r="E105" s="20">
        <f>E104-$B$107/4</f>
        <v>-2.5</v>
      </c>
      <c r="F105" s="19">
        <f>D103</f>
        <v>0</v>
      </c>
      <c r="G105" s="20">
        <f>F105+$B$107/4</f>
        <v>2.5</v>
      </c>
      <c r="H105" s="18">
        <f>G105+$B$107/4</f>
        <v>5</v>
      </c>
      <c r="I105" s="56"/>
    </row>
    <row r="106" spans="1:9" ht="17.25" customHeight="1">
      <c r="A106" s="23"/>
      <c r="B106" s="22"/>
      <c r="C106" s="21" t="s">
        <v>4</v>
      </c>
      <c r="D106" s="20">
        <f>D105-$B$107/4</f>
        <v>-7.5</v>
      </c>
      <c r="E106" s="20">
        <f>E105-$B$107/4</f>
        <v>-5</v>
      </c>
      <c r="F106" s="20">
        <f>F105-$B$107/4</f>
        <v>-2.5</v>
      </c>
      <c r="G106" s="19">
        <f>D103</f>
        <v>0</v>
      </c>
      <c r="H106" s="18">
        <f>G106+$B$107/4</f>
        <v>2.5</v>
      </c>
      <c r="I106" s="56"/>
    </row>
    <row r="107" spans="1:9" ht="17.25" customHeight="1" thickBot="1">
      <c r="A107" s="16"/>
      <c r="B107" s="15">
        <v>10</v>
      </c>
      <c r="C107" s="54" t="s">
        <v>3</v>
      </c>
      <c r="D107" s="53">
        <f>D106-$B$107/4</f>
        <v>-10</v>
      </c>
      <c r="E107" s="53">
        <f>E106-$B$107/4</f>
        <v>-7.5</v>
      </c>
      <c r="F107" s="53">
        <f>F106-$B$107/4</f>
        <v>-5</v>
      </c>
      <c r="G107" s="53">
        <f>G106-$B$107/4</f>
        <v>-2.5</v>
      </c>
      <c r="H107" s="52">
        <f>D103</f>
        <v>0</v>
      </c>
      <c r="I107" s="17"/>
    </row>
    <row r="108" spans="1:9" ht="17.25" customHeight="1" thickTop="1">
      <c r="A108" s="33" t="s">
        <v>67</v>
      </c>
      <c r="B108" s="32" t="s">
        <v>66</v>
      </c>
      <c r="C108" s="31" t="s">
        <v>11</v>
      </c>
      <c r="D108" s="45" t="s">
        <v>8</v>
      </c>
      <c r="E108" s="45" t="s">
        <v>6</v>
      </c>
      <c r="F108" s="45" t="s">
        <v>5</v>
      </c>
      <c r="G108" s="45" t="s">
        <v>4</v>
      </c>
      <c r="H108" s="49" t="s">
        <v>3</v>
      </c>
      <c r="I108" s="55"/>
    </row>
    <row r="109" spans="1:9" ht="17.25" customHeight="1">
      <c r="A109" s="23"/>
      <c r="B109" s="22" t="s">
        <v>65</v>
      </c>
      <c r="C109" s="27" t="s">
        <v>10</v>
      </c>
      <c r="D109" s="26"/>
      <c r="E109" s="26"/>
      <c r="F109" s="26"/>
      <c r="G109" s="26"/>
      <c r="H109" s="25"/>
      <c r="I109" s="34" t="s">
        <v>64</v>
      </c>
    </row>
    <row r="110" spans="1:9" ht="17.25" customHeight="1">
      <c r="A110" s="23"/>
      <c r="B110" s="22" t="s">
        <v>63</v>
      </c>
      <c r="C110" s="21" t="s">
        <v>8</v>
      </c>
      <c r="D110" s="19">
        <v>0</v>
      </c>
      <c r="E110" s="20">
        <f>D110+$B$114/4</f>
        <v>3.75</v>
      </c>
      <c r="F110" s="20">
        <f>E110+$B$114/4</f>
        <v>7.5</v>
      </c>
      <c r="G110" s="20">
        <f>F110+$B$114/4</f>
        <v>11.25</v>
      </c>
      <c r="H110" s="18">
        <f>G110+$B$114/4</f>
        <v>15</v>
      </c>
      <c r="I110" s="34" t="s">
        <v>62</v>
      </c>
    </row>
    <row r="111" spans="1:9" ht="17.25" customHeight="1">
      <c r="A111" s="23"/>
      <c r="B111" s="22" t="s">
        <v>61</v>
      </c>
      <c r="C111" s="21" t="s">
        <v>6</v>
      </c>
      <c r="D111" s="20">
        <f>D110-$B$114/4</f>
        <v>-3.75</v>
      </c>
      <c r="E111" s="19">
        <f>D110</f>
        <v>0</v>
      </c>
      <c r="F111" s="20">
        <f>F110-$B$114/4</f>
        <v>3.75</v>
      </c>
      <c r="G111" s="20">
        <f>G110-$B$114/4</f>
        <v>7.5</v>
      </c>
      <c r="H111" s="18">
        <f>H110-$B$114/4</f>
        <v>11.25</v>
      </c>
      <c r="I111" s="34" t="s">
        <v>60</v>
      </c>
    </row>
    <row r="112" spans="1:9" ht="17.25" customHeight="1">
      <c r="A112" s="23"/>
      <c r="B112" s="22"/>
      <c r="C112" s="21" t="s">
        <v>5</v>
      </c>
      <c r="D112" s="20">
        <f>D111-$B$114/4</f>
        <v>-7.5</v>
      </c>
      <c r="E112" s="20">
        <f>E111-$B$114/4</f>
        <v>-3.75</v>
      </c>
      <c r="F112" s="19">
        <f>D110</f>
        <v>0</v>
      </c>
      <c r="G112" s="20">
        <f>G111-$B$114/4</f>
        <v>3.75</v>
      </c>
      <c r="H112" s="18">
        <f>H111-$B$114/4</f>
        <v>7.5</v>
      </c>
      <c r="I112" s="34" t="s">
        <v>59</v>
      </c>
    </row>
    <row r="113" spans="1:9" ht="17.25" customHeight="1">
      <c r="A113" s="23"/>
      <c r="B113" s="22"/>
      <c r="C113" s="21" t="s">
        <v>4</v>
      </c>
      <c r="D113" s="20">
        <f>D112-$B$114/4</f>
        <v>-11.25</v>
      </c>
      <c r="E113" s="20">
        <f>E112-$B$114/4</f>
        <v>-7.5</v>
      </c>
      <c r="F113" s="20">
        <f>F112-$B$114/4</f>
        <v>-3.75</v>
      </c>
      <c r="G113" s="19">
        <f>D110</f>
        <v>0</v>
      </c>
      <c r="H113" s="18">
        <f>H112-$B$114/4</f>
        <v>3.75</v>
      </c>
      <c r="I113" s="34" t="s">
        <v>58</v>
      </c>
    </row>
    <row r="114" spans="1:9" ht="17.25" customHeight="1" thickBot="1">
      <c r="A114" s="23"/>
      <c r="B114" s="15">
        <v>15</v>
      </c>
      <c r="C114" s="54" t="s">
        <v>3</v>
      </c>
      <c r="D114" s="53">
        <f>D113-$B$114/4</f>
        <v>-15</v>
      </c>
      <c r="E114" s="53">
        <f>E113-$B$114/4</f>
        <v>-11.25</v>
      </c>
      <c r="F114" s="53">
        <f>F113-$B$114/4</f>
        <v>-7.5</v>
      </c>
      <c r="G114" s="53">
        <f>G113-$B$114/4</f>
        <v>-3.75</v>
      </c>
      <c r="H114" s="52">
        <f>D110</f>
        <v>0</v>
      </c>
      <c r="I114" s="34" t="s">
        <v>57</v>
      </c>
    </row>
    <row r="115" spans="1:9" ht="17.25" customHeight="1">
      <c r="A115" s="23"/>
      <c r="B115" s="32" t="s">
        <v>56</v>
      </c>
      <c r="C115" s="31" t="s">
        <v>11</v>
      </c>
      <c r="D115" s="45" t="s">
        <v>8</v>
      </c>
      <c r="E115" s="45" t="s">
        <v>55</v>
      </c>
      <c r="F115" s="45" t="s">
        <v>5</v>
      </c>
      <c r="G115" s="45" t="s">
        <v>4</v>
      </c>
      <c r="H115" s="49" t="s">
        <v>3</v>
      </c>
      <c r="I115" s="28"/>
    </row>
    <row r="116" spans="1:9" ht="17.25" customHeight="1">
      <c r="A116" s="23"/>
      <c r="B116" s="22" t="s">
        <v>54</v>
      </c>
      <c r="C116" s="27" t="s">
        <v>10</v>
      </c>
      <c r="D116" s="26"/>
      <c r="E116" s="26"/>
      <c r="F116" s="26"/>
      <c r="G116" s="26"/>
      <c r="H116" s="25"/>
      <c r="I116" s="34" t="s">
        <v>53</v>
      </c>
    </row>
    <row r="117" spans="1:9" s="51" customFormat="1" ht="17.25" customHeight="1">
      <c r="A117" s="23"/>
      <c r="B117" s="22" t="s">
        <v>46</v>
      </c>
      <c r="C117" s="21" t="s">
        <v>8</v>
      </c>
      <c r="D117" s="19">
        <v>0</v>
      </c>
      <c r="E117" s="19">
        <f>D117+$B$121/4</f>
        <v>5</v>
      </c>
      <c r="F117" s="19">
        <f>E117+$B$121/4</f>
        <v>10</v>
      </c>
      <c r="G117" s="19">
        <f>F117+$B$121/4</f>
        <v>15</v>
      </c>
      <c r="H117" s="38">
        <f>G117+$B$121/4</f>
        <v>20</v>
      </c>
      <c r="I117" s="34" t="s">
        <v>52</v>
      </c>
    </row>
    <row r="118" spans="1:9" s="51" customFormat="1" ht="17.25" customHeight="1">
      <c r="A118" s="23"/>
      <c r="B118" s="22" t="s">
        <v>33</v>
      </c>
      <c r="C118" s="21" t="s">
        <v>6</v>
      </c>
      <c r="D118" s="19">
        <f>D117-$B$121/4</f>
        <v>-5</v>
      </c>
      <c r="E118" s="19">
        <f>D117</f>
        <v>0</v>
      </c>
      <c r="F118" s="19">
        <f>E118+$B$121/4</f>
        <v>5</v>
      </c>
      <c r="G118" s="19">
        <f>F118+$B$121/4</f>
        <v>10</v>
      </c>
      <c r="H118" s="38">
        <f>G118+$B$121/4</f>
        <v>15</v>
      </c>
      <c r="I118" s="34" t="s">
        <v>51</v>
      </c>
    </row>
    <row r="119" spans="1:9" s="51" customFormat="1" ht="17.25" customHeight="1">
      <c r="A119" s="23"/>
      <c r="B119" s="22"/>
      <c r="C119" s="21" t="s">
        <v>5</v>
      </c>
      <c r="D119" s="19">
        <f>D118-$B$121/4</f>
        <v>-10</v>
      </c>
      <c r="E119" s="19">
        <f>E118-$B$121/4</f>
        <v>-5</v>
      </c>
      <c r="F119" s="19">
        <f>D117</f>
        <v>0</v>
      </c>
      <c r="G119" s="19">
        <f>F119+$B$121/4</f>
        <v>5</v>
      </c>
      <c r="H119" s="38">
        <f>G119+$B$121/4</f>
        <v>10</v>
      </c>
      <c r="I119" s="34" t="s">
        <v>50</v>
      </c>
    </row>
    <row r="120" spans="1:9" s="51" customFormat="1" ht="17.25" customHeight="1">
      <c r="A120" s="23"/>
      <c r="B120" s="22"/>
      <c r="C120" s="21" t="s">
        <v>4</v>
      </c>
      <c r="D120" s="19">
        <f>D119-$B$121/4</f>
        <v>-15</v>
      </c>
      <c r="E120" s="19">
        <f>E119-$B$121/4</f>
        <v>-10</v>
      </c>
      <c r="F120" s="19">
        <f>F119-$B$121/4</f>
        <v>-5</v>
      </c>
      <c r="G120" s="19">
        <f>D117</f>
        <v>0</v>
      </c>
      <c r="H120" s="38">
        <f>G120+$B$121/4</f>
        <v>5</v>
      </c>
      <c r="I120" s="34" t="s">
        <v>49</v>
      </c>
    </row>
    <row r="121" spans="1:9" s="51" customFormat="1" ht="17.25" customHeight="1" thickBot="1">
      <c r="A121" s="23"/>
      <c r="B121" s="15">
        <v>20</v>
      </c>
      <c r="C121" s="14" t="s">
        <v>3</v>
      </c>
      <c r="D121" s="35">
        <f>D120-$B$121/4</f>
        <v>-20</v>
      </c>
      <c r="E121" s="35">
        <f>E120-$B$121/4</f>
        <v>-15</v>
      </c>
      <c r="F121" s="35">
        <f>F120-$B$121/4</f>
        <v>-10</v>
      </c>
      <c r="G121" s="35">
        <f>G120-$B$121/4</f>
        <v>-5</v>
      </c>
      <c r="H121" s="12">
        <f>D117</f>
        <v>0</v>
      </c>
      <c r="I121" s="34" t="s">
        <v>48</v>
      </c>
    </row>
    <row r="122" spans="1:9" s="51" customFormat="1" ht="17.25" customHeight="1">
      <c r="A122" s="23"/>
      <c r="B122" s="32" t="s">
        <v>47</v>
      </c>
      <c r="C122" s="31" t="s">
        <v>11</v>
      </c>
      <c r="D122" s="30" t="s">
        <v>8</v>
      </c>
      <c r="E122" s="30" t="s">
        <v>6</v>
      </c>
      <c r="F122" s="30" t="s">
        <v>5</v>
      </c>
      <c r="G122" s="30" t="s">
        <v>4</v>
      </c>
      <c r="H122" s="29" t="s">
        <v>3</v>
      </c>
      <c r="I122" s="28"/>
    </row>
    <row r="123" spans="1:9" s="51" customFormat="1" ht="17.25" customHeight="1">
      <c r="A123" s="23"/>
      <c r="B123" s="22" t="s">
        <v>46</v>
      </c>
      <c r="C123" s="27" t="s">
        <v>10</v>
      </c>
      <c r="D123" s="26"/>
      <c r="E123" s="26"/>
      <c r="F123" s="26"/>
      <c r="G123" s="26"/>
      <c r="H123" s="25"/>
      <c r="I123" s="34" t="s">
        <v>45</v>
      </c>
    </row>
    <row r="124" spans="1:9" s="51" customFormat="1" ht="17.25" customHeight="1">
      <c r="A124" s="23"/>
      <c r="B124" s="22" t="s">
        <v>44</v>
      </c>
      <c r="C124" s="21" t="s">
        <v>8</v>
      </c>
      <c r="D124" s="19">
        <v>0</v>
      </c>
      <c r="E124" s="19">
        <f>D124+$B$128/4</f>
        <v>5</v>
      </c>
      <c r="F124" s="19">
        <f>E124+$B$128/4</f>
        <v>10</v>
      </c>
      <c r="G124" s="19">
        <f>F124+$B$128/4</f>
        <v>15</v>
      </c>
      <c r="H124" s="38">
        <f>G124+$B$128/4</f>
        <v>20</v>
      </c>
      <c r="I124" s="34" t="s">
        <v>43</v>
      </c>
    </row>
    <row r="125" spans="1:9" ht="17.25" customHeight="1">
      <c r="A125" s="23"/>
      <c r="B125" s="22" t="s">
        <v>42</v>
      </c>
      <c r="C125" s="21" t="s">
        <v>6</v>
      </c>
      <c r="D125" s="19">
        <f>D124-$B$128/4</f>
        <v>-5</v>
      </c>
      <c r="E125" s="19">
        <f>D124</f>
        <v>0</v>
      </c>
      <c r="F125" s="19">
        <f>F124-$B$128/4</f>
        <v>5</v>
      </c>
      <c r="G125" s="19">
        <f>G124-$B$128/4</f>
        <v>10</v>
      </c>
      <c r="H125" s="38">
        <f>H124-$B$128/4</f>
        <v>15</v>
      </c>
      <c r="I125" s="34" t="s">
        <v>41</v>
      </c>
    </row>
    <row r="126" spans="1:9" ht="17.25" customHeight="1">
      <c r="A126" s="23"/>
      <c r="B126" s="22" t="s">
        <v>33</v>
      </c>
      <c r="C126" s="21" t="s">
        <v>5</v>
      </c>
      <c r="D126" s="19">
        <f>D125-$B$128/4</f>
        <v>-10</v>
      </c>
      <c r="E126" s="19">
        <f>E125-$B$128/4</f>
        <v>-5</v>
      </c>
      <c r="F126" s="19">
        <f>D124</f>
        <v>0</v>
      </c>
      <c r="G126" s="19">
        <f>G125-$B$128/4</f>
        <v>5</v>
      </c>
      <c r="H126" s="38">
        <f>H125-$B$128/4</f>
        <v>10</v>
      </c>
      <c r="I126" s="34" t="s">
        <v>40</v>
      </c>
    </row>
    <row r="127" spans="1:9" ht="17.25" customHeight="1">
      <c r="A127" s="23"/>
      <c r="B127" s="50" t="s">
        <v>39</v>
      </c>
      <c r="C127" s="21" t="s">
        <v>4</v>
      </c>
      <c r="D127" s="19">
        <f>D126-$B$128/4</f>
        <v>-15</v>
      </c>
      <c r="E127" s="19">
        <f>E126-$B$128/4</f>
        <v>-10</v>
      </c>
      <c r="F127" s="19">
        <f>F126-$B$128/4</f>
        <v>-5</v>
      </c>
      <c r="G127" s="19">
        <f>D124</f>
        <v>0</v>
      </c>
      <c r="H127" s="38">
        <f>H126-$B$128/4</f>
        <v>5</v>
      </c>
      <c r="I127" s="34" t="s">
        <v>38</v>
      </c>
    </row>
    <row r="128" spans="1:9" ht="17.25" customHeight="1" thickBot="1">
      <c r="A128" s="23"/>
      <c r="B128" s="15">
        <v>20</v>
      </c>
      <c r="C128" s="14" t="s">
        <v>3</v>
      </c>
      <c r="D128" s="35">
        <f>D127-$B$128/4</f>
        <v>-20</v>
      </c>
      <c r="E128" s="35">
        <f>E127-$B$128/4</f>
        <v>-15</v>
      </c>
      <c r="F128" s="35">
        <f>F127-$B$128/4</f>
        <v>-10</v>
      </c>
      <c r="G128" s="35">
        <f>G127-$B$128/4</f>
        <v>-5</v>
      </c>
      <c r="H128" s="12">
        <f>D124</f>
        <v>0</v>
      </c>
      <c r="I128" s="46" t="s">
        <v>37</v>
      </c>
    </row>
    <row r="129" spans="1:9" ht="17.25" customHeight="1">
      <c r="A129" s="23"/>
      <c r="B129" s="22" t="s">
        <v>36</v>
      </c>
      <c r="C129" s="31" t="s">
        <v>11</v>
      </c>
      <c r="D129" s="45" t="s">
        <v>8</v>
      </c>
      <c r="E129" s="45" t="s">
        <v>6</v>
      </c>
      <c r="F129" s="45" t="s">
        <v>5</v>
      </c>
      <c r="G129" s="45" t="s">
        <v>4</v>
      </c>
      <c r="H129" s="49" t="s">
        <v>3</v>
      </c>
      <c r="I129" s="48" t="s">
        <v>35</v>
      </c>
    </row>
    <row r="130" spans="1:9" ht="17.25" customHeight="1">
      <c r="A130" s="23"/>
      <c r="B130" s="22" t="s">
        <v>34</v>
      </c>
      <c r="C130" s="27" t="s">
        <v>10</v>
      </c>
      <c r="D130" s="26"/>
      <c r="E130" s="26"/>
      <c r="F130" s="26"/>
      <c r="G130" s="26"/>
      <c r="H130" s="25"/>
      <c r="I130" s="48"/>
    </row>
    <row r="131" spans="1:9" ht="17.25" customHeight="1">
      <c r="A131" s="23"/>
      <c r="B131" s="22" t="s">
        <v>33</v>
      </c>
      <c r="C131" s="21" t="s">
        <v>8</v>
      </c>
      <c r="D131" s="19">
        <v>0</v>
      </c>
      <c r="E131" s="20">
        <f>D131+$B$135/4</f>
        <v>1.5</v>
      </c>
      <c r="F131" s="20">
        <f>E131+$B$135/4</f>
        <v>3</v>
      </c>
      <c r="G131" s="20">
        <f>F131+$B$135/4</f>
        <v>4.5</v>
      </c>
      <c r="H131" s="18">
        <f>G131+$B$135/4</f>
        <v>6</v>
      </c>
      <c r="I131" s="34" t="s">
        <v>32</v>
      </c>
    </row>
    <row r="132" spans="1:9" ht="17.25" customHeight="1">
      <c r="A132" s="23"/>
      <c r="B132" s="22" t="s">
        <v>31</v>
      </c>
      <c r="C132" s="21" t="s">
        <v>6</v>
      </c>
      <c r="D132" s="20">
        <f>D131-$B$135/4</f>
        <v>-1.5</v>
      </c>
      <c r="E132" s="19">
        <f>D131</f>
        <v>0</v>
      </c>
      <c r="F132" s="20">
        <f>F131-$B$135/4</f>
        <v>1.5</v>
      </c>
      <c r="G132" s="20">
        <f>G131-$B$135/4</f>
        <v>3</v>
      </c>
      <c r="H132" s="18">
        <f>H131-$B$135/4</f>
        <v>4.5</v>
      </c>
      <c r="I132" s="34" t="s">
        <v>30</v>
      </c>
    </row>
    <row r="133" spans="1:9" ht="17.25" customHeight="1">
      <c r="A133" s="23"/>
      <c r="B133" s="47" t="s">
        <v>29</v>
      </c>
      <c r="C133" s="21" t="s">
        <v>5</v>
      </c>
      <c r="D133" s="20">
        <f>D132-$B$135/4</f>
        <v>-3</v>
      </c>
      <c r="E133" s="20">
        <f>E132-$B$135/4</f>
        <v>-1.5</v>
      </c>
      <c r="F133" s="19">
        <f>D131</f>
        <v>0</v>
      </c>
      <c r="G133" s="20">
        <f>G132-$B$135/4</f>
        <v>1.5</v>
      </c>
      <c r="H133" s="18">
        <f>H132-$B$135/4</f>
        <v>3</v>
      </c>
      <c r="I133" s="34" t="s">
        <v>28</v>
      </c>
    </row>
    <row r="134" spans="1:9" ht="17.25" customHeight="1">
      <c r="A134" s="23"/>
      <c r="B134" s="47" t="s">
        <v>27</v>
      </c>
      <c r="C134" s="21" t="s">
        <v>4</v>
      </c>
      <c r="D134" s="20">
        <f>D133-$B$135/4</f>
        <v>-4.5</v>
      </c>
      <c r="E134" s="20">
        <f>E133-$B$135/4</f>
        <v>-3</v>
      </c>
      <c r="F134" s="20">
        <f>F133-$B$135/4</f>
        <v>-1.5</v>
      </c>
      <c r="G134" s="19">
        <f>D131</f>
        <v>0</v>
      </c>
      <c r="H134" s="18">
        <f>H133-$B$135/4</f>
        <v>1.5</v>
      </c>
      <c r="I134" s="34" t="s">
        <v>26</v>
      </c>
    </row>
    <row r="135" spans="1:9" ht="17.25" customHeight="1" thickBot="1">
      <c r="A135" s="16"/>
      <c r="B135" s="15">
        <v>6</v>
      </c>
      <c r="C135" s="14" t="s">
        <v>3</v>
      </c>
      <c r="D135" s="13">
        <f>D134-$B$135/4</f>
        <v>-6</v>
      </c>
      <c r="E135" s="13">
        <f>E134-$B$135/4</f>
        <v>-4.5</v>
      </c>
      <c r="F135" s="13">
        <f>F134-$B$135/4</f>
        <v>-3</v>
      </c>
      <c r="G135" s="13">
        <f>G134-$B$135/4</f>
        <v>-1.5</v>
      </c>
      <c r="H135" s="12">
        <f>D131</f>
        <v>0</v>
      </c>
      <c r="I135" s="46" t="s">
        <v>25</v>
      </c>
    </row>
    <row r="136" spans="1:9" ht="17.25" customHeight="1">
      <c r="A136" s="23" t="s">
        <v>24</v>
      </c>
      <c r="B136" s="22" t="s">
        <v>23</v>
      </c>
      <c r="C136" s="31" t="s">
        <v>11</v>
      </c>
      <c r="D136" s="45" t="s">
        <v>8</v>
      </c>
      <c r="E136" s="45" t="s">
        <v>6</v>
      </c>
      <c r="F136" s="45" t="s">
        <v>5</v>
      </c>
      <c r="G136" s="45" t="s">
        <v>4</v>
      </c>
      <c r="H136" s="44" t="s">
        <v>3</v>
      </c>
      <c r="I136" s="24"/>
    </row>
    <row r="137" spans="1:9" ht="17.25" customHeight="1">
      <c r="A137" s="23"/>
      <c r="B137" s="43" t="s">
        <v>22</v>
      </c>
      <c r="C137" s="27" t="s">
        <v>10</v>
      </c>
      <c r="D137" s="26"/>
      <c r="E137" s="26"/>
      <c r="F137" s="26"/>
      <c r="G137" s="26"/>
      <c r="H137" s="42"/>
      <c r="I137" s="34" t="s">
        <v>21</v>
      </c>
    </row>
    <row r="138" spans="1:9" ht="17.25" customHeight="1">
      <c r="A138" s="23"/>
      <c r="B138" s="41" t="s">
        <v>20</v>
      </c>
      <c r="C138" s="39" t="s">
        <v>8</v>
      </c>
      <c r="D138" s="19">
        <v>0</v>
      </c>
      <c r="E138" s="19">
        <f>D138+$B$142/4</f>
        <v>5</v>
      </c>
      <c r="F138" s="19">
        <f>E138+$B$142/4</f>
        <v>10</v>
      </c>
      <c r="G138" s="19">
        <f>F138+$B$142/4</f>
        <v>15</v>
      </c>
      <c r="H138" s="38">
        <f>G138+$B$142/4</f>
        <v>20</v>
      </c>
      <c r="I138" s="34" t="s">
        <v>19</v>
      </c>
    </row>
    <row r="139" spans="1:9" ht="17.25" customHeight="1">
      <c r="A139" s="23"/>
      <c r="B139" s="40" t="s">
        <v>18</v>
      </c>
      <c r="C139" s="39" t="s">
        <v>6</v>
      </c>
      <c r="D139" s="19">
        <f>D138-$B$142/4</f>
        <v>-5</v>
      </c>
      <c r="E139" s="19">
        <f>D138</f>
        <v>0</v>
      </c>
      <c r="F139" s="19">
        <f>E139+$B$142/4</f>
        <v>5</v>
      </c>
      <c r="G139" s="19">
        <f>F139+$B$142/4</f>
        <v>10</v>
      </c>
      <c r="H139" s="38">
        <f>G139+$B$142/4</f>
        <v>15</v>
      </c>
      <c r="I139" s="34" t="s">
        <v>17</v>
      </c>
    </row>
    <row r="140" spans="1:9" ht="17.25" customHeight="1">
      <c r="A140" s="23"/>
      <c r="B140" s="40" t="s">
        <v>16</v>
      </c>
      <c r="C140" s="39" t="s">
        <v>5</v>
      </c>
      <c r="D140" s="19">
        <f>D139-$B$142/4</f>
        <v>-10</v>
      </c>
      <c r="E140" s="19">
        <f>E139-$B$142/4</f>
        <v>-5</v>
      </c>
      <c r="F140" s="19">
        <f>D138</f>
        <v>0</v>
      </c>
      <c r="G140" s="19">
        <f>F140+$B$142/4</f>
        <v>5</v>
      </c>
      <c r="H140" s="38">
        <f>G140+$B$142/4</f>
        <v>10</v>
      </c>
      <c r="I140" s="34" t="s">
        <v>15</v>
      </c>
    </row>
    <row r="141" spans="1:9" ht="17.25" customHeight="1">
      <c r="A141" s="23"/>
      <c r="B141" s="40"/>
      <c r="C141" s="39" t="s">
        <v>4</v>
      </c>
      <c r="D141" s="19">
        <f>D140-$B$142/4</f>
        <v>-15</v>
      </c>
      <c r="E141" s="19">
        <f>E140-$B$142/4</f>
        <v>-10</v>
      </c>
      <c r="F141" s="19">
        <f>F140-$B$142/4</f>
        <v>-5</v>
      </c>
      <c r="G141" s="19">
        <f>D138</f>
        <v>0</v>
      </c>
      <c r="H141" s="38">
        <f>G141+$B$142/4</f>
        <v>5</v>
      </c>
      <c r="I141" s="34" t="s">
        <v>14</v>
      </c>
    </row>
    <row r="142" spans="1:9" ht="17.25" customHeight="1" thickBot="1">
      <c r="A142" s="37"/>
      <c r="B142" s="15">
        <v>20</v>
      </c>
      <c r="C142" s="36" t="s">
        <v>3</v>
      </c>
      <c r="D142" s="35">
        <f>D141-$B$142/4</f>
        <v>-20</v>
      </c>
      <c r="E142" s="35">
        <f>E141-$B$142/4</f>
        <v>-15</v>
      </c>
      <c r="F142" s="35">
        <f>F141-$B$142/4</f>
        <v>-10</v>
      </c>
      <c r="G142" s="35">
        <f>G141-$B$142/4</f>
        <v>-5</v>
      </c>
      <c r="H142" s="12">
        <f>D138</f>
        <v>0</v>
      </c>
      <c r="I142" s="34" t="s">
        <v>13</v>
      </c>
    </row>
    <row r="143" spans="1:9" ht="17.25" customHeight="1" thickTop="1">
      <c r="A143" s="33" t="s">
        <v>12</v>
      </c>
      <c r="B143" s="32"/>
      <c r="C143" s="31" t="s">
        <v>11</v>
      </c>
      <c r="D143" s="30" t="s">
        <v>8</v>
      </c>
      <c r="E143" s="30" t="s">
        <v>6</v>
      </c>
      <c r="F143" s="30" t="s">
        <v>5</v>
      </c>
      <c r="G143" s="30" t="s">
        <v>4</v>
      </c>
      <c r="H143" s="29" t="s">
        <v>3</v>
      </c>
      <c r="I143" s="28"/>
    </row>
    <row r="144" spans="1:9" ht="17.25" customHeight="1">
      <c r="A144" s="23"/>
      <c r="B144" s="22"/>
      <c r="C144" s="27" t="s">
        <v>10</v>
      </c>
      <c r="D144" s="26"/>
      <c r="E144" s="26"/>
      <c r="F144" s="26"/>
      <c r="G144" s="26"/>
      <c r="H144" s="25"/>
      <c r="I144" s="24" t="s">
        <v>9</v>
      </c>
    </row>
    <row r="145" spans="1:9" ht="17.25" customHeight="1">
      <c r="A145" s="23"/>
      <c r="B145" s="22"/>
      <c r="C145" s="21" t="s">
        <v>8</v>
      </c>
      <c r="D145" s="19">
        <v>0</v>
      </c>
      <c r="E145" s="20">
        <f>D145+$B$149/4</f>
        <v>7.5</v>
      </c>
      <c r="F145" s="20">
        <f>E145+$B$149/4</f>
        <v>15</v>
      </c>
      <c r="G145" s="20">
        <f>F145+$B$149/4</f>
        <v>22.5</v>
      </c>
      <c r="H145" s="18">
        <f>G145+$B$149/4</f>
        <v>30</v>
      </c>
      <c r="I145" s="17" t="s">
        <v>7</v>
      </c>
    </row>
    <row r="146" spans="1:9" ht="17.25" customHeight="1">
      <c r="A146" s="23"/>
      <c r="B146" s="22"/>
      <c r="C146" s="21" t="s">
        <v>6</v>
      </c>
      <c r="D146" s="20">
        <f>D145-$B$149/4</f>
        <v>-7.5</v>
      </c>
      <c r="E146" s="19">
        <f>E145-$B$149/4</f>
        <v>0</v>
      </c>
      <c r="F146" s="20">
        <f>F145-$B$149/4</f>
        <v>7.5</v>
      </c>
      <c r="G146" s="20">
        <f>G145-$B$149/4</f>
        <v>15</v>
      </c>
      <c r="H146" s="18">
        <f>H145-$B$149/4</f>
        <v>22.5</v>
      </c>
      <c r="I146" s="17"/>
    </row>
    <row r="147" spans="1:9" ht="17.25" customHeight="1">
      <c r="A147" s="23"/>
      <c r="B147" s="22"/>
      <c r="C147" s="21" t="s">
        <v>5</v>
      </c>
      <c r="D147" s="20">
        <f>D146-$B$149/4</f>
        <v>-15</v>
      </c>
      <c r="E147" s="20">
        <f>E146-$B$149/4</f>
        <v>-7.5</v>
      </c>
      <c r="F147" s="19">
        <f>F146-$B$149/4</f>
        <v>0</v>
      </c>
      <c r="G147" s="20">
        <f>G146-$B$149/4</f>
        <v>7.5</v>
      </c>
      <c r="H147" s="18">
        <f>H146-$B$149/4</f>
        <v>15</v>
      </c>
      <c r="I147" s="17"/>
    </row>
    <row r="148" spans="1:9" ht="17.25" customHeight="1">
      <c r="A148" s="23"/>
      <c r="B148" s="22"/>
      <c r="C148" s="21" t="s">
        <v>4</v>
      </c>
      <c r="D148" s="20">
        <f>D147-$B$149/4</f>
        <v>-22.5</v>
      </c>
      <c r="E148" s="20">
        <f>E147-$B$149/4</f>
        <v>-15</v>
      </c>
      <c r="F148" s="20">
        <f>F147-$B$149/4</f>
        <v>-7.5</v>
      </c>
      <c r="G148" s="19">
        <f>G147-$B$149/4</f>
        <v>0</v>
      </c>
      <c r="H148" s="18">
        <f>H147-$B$149/4</f>
        <v>7.5</v>
      </c>
      <c r="I148" s="17"/>
    </row>
    <row r="149" spans="1:9" ht="17.25" customHeight="1" thickBot="1">
      <c r="A149" s="16"/>
      <c r="B149" s="15">
        <v>30</v>
      </c>
      <c r="C149" s="14" t="s">
        <v>3</v>
      </c>
      <c r="D149" s="13">
        <f>D148-$B$149/4</f>
        <v>-30</v>
      </c>
      <c r="E149" s="13">
        <f>E148-$B$149/4</f>
        <v>-22.5</v>
      </c>
      <c r="F149" s="13">
        <f>F148-$B$149/4</f>
        <v>-15</v>
      </c>
      <c r="G149" s="13">
        <f>G148-$B$149/4</f>
        <v>-7.5</v>
      </c>
      <c r="H149" s="12">
        <f>H148-$B$149/4</f>
        <v>0</v>
      </c>
      <c r="I149" s="11"/>
    </row>
    <row r="150" spans="1:9" ht="17.25" customHeight="1">
      <c r="A150" s="10" t="s">
        <v>2</v>
      </c>
      <c r="B150" s="9"/>
    </row>
    <row r="151" spans="1:9" ht="17.25" customHeight="1">
      <c r="A151" s="8" t="s">
        <v>1</v>
      </c>
      <c r="B151" s="8"/>
      <c r="C151" s="8"/>
      <c r="D151" s="8"/>
      <c r="E151" s="8"/>
      <c r="F151" s="8"/>
      <c r="G151" s="8"/>
      <c r="H151" s="8"/>
      <c r="I151" s="8"/>
    </row>
    <row r="152" spans="1:9" ht="17.25" customHeight="1">
      <c r="A152" s="8" t="s">
        <v>0</v>
      </c>
      <c r="B152" s="8"/>
      <c r="C152" s="8"/>
      <c r="D152" s="8"/>
      <c r="E152" s="8"/>
      <c r="F152" s="8"/>
      <c r="G152" s="8"/>
      <c r="H152" s="8"/>
      <c r="I152" s="8"/>
    </row>
    <row r="153" spans="1:9" ht="17.25" customHeight="1">
      <c r="A153" s="7"/>
      <c r="B153" s="7"/>
      <c r="C153" s="7"/>
      <c r="D153" s="7"/>
      <c r="E153" s="7"/>
      <c r="F153" s="7"/>
      <c r="G153" s="7"/>
      <c r="H153" s="7"/>
      <c r="I153" s="7"/>
    </row>
    <row r="154" spans="1:9" ht="17.25" customHeight="1">
      <c r="A154" s="7"/>
      <c r="B154" s="7"/>
      <c r="C154" s="7"/>
      <c r="D154" s="7"/>
      <c r="E154" s="7"/>
      <c r="F154" s="7"/>
      <c r="G154" s="7"/>
      <c r="H154" s="7"/>
      <c r="I154" s="7"/>
    </row>
    <row r="155" spans="1:9" ht="17.25" customHeight="1">
      <c r="A155" s="7"/>
      <c r="B155" s="7"/>
      <c r="C155" s="7"/>
      <c r="D155" s="7"/>
      <c r="E155" s="7"/>
      <c r="F155" s="7"/>
      <c r="G155" s="7"/>
      <c r="H155" s="7"/>
      <c r="I155" s="7"/>
    </row>
    <row r="156" spans="1:9" ht="17.25" customHeight="1">
      <c r="A156" s="7"/>
      <c r="B156" s="7"/>
      <c r="C156" s="7"/>
      <c r="D156" s="7"/>
      <c r="E156" s="7"/>
      <c r="F156" s="7"/>
      <c r="G156" s="7"/>
      <c r="H156" s="7"/>
      <c r="I156" s="7"/>
    </row>
    <row r="166" spans="1:9" ht="17.25" customHeight="1">
      <c r="A166" s="6"/>
      <c r="B166" s="4"/>
      <c r="C166" s="4"/>
      <c r="D166" s="5"/>
      <c r="E166" s="5"/>
      <c r="F166" s="5"/>
      <c r="G166" s="5"/>
      <c r="H166" s="5"/>
      <c r="I166" s="4"/>
    </row>
    <row r="167" spans="1:9" ht="17.25" customHeight="1">
      <c r="A167" s="6"/>
      <c r="B167" s="4"/>
      <c r="C167" s="4"/>
      <c r="D167" s="5"/>
      <c r="E167" s="5"/>
      <c r="F167" s="5"/>
      <c r="G167" s="5"/>
      <c r="H167" s="5"/>
      <c r="I167" s="4"/>
    </row>
    <row r="168" spans="1:9" ht="17.25" customHeight="1">
      <c r="A168" s="6"/>
      <c r="B168" s="4"/>
      <c r="C168" s="4"/>
      <c r="D168" s="5"/>
      <c r="E168" s="5"/>
      <c r="F168" s="5"/>
      <c r="G168" s="5"/>
      <c r="H168" s="5"/>
      <c r="I168" s="4"/>
    </row>
    <row r="169" spans="1:9" ht="17.25" customHeight="1">
      <c r="A169" s="6"/>
      <c r="B169" s="4"/>
      <c r="C169" s="4"/>
      <c r="D169" s="5"/>
      <c r="E169" s="5"/>
      <c r="F169" s="5"/>
      <c r="G169" s="5"/>
      <c r="H169" s="5"/>
      <c r="I169" s="4"/>
    </row>
    <row r="170" spans="1:9" ht="17.25" customHeight="1">
      <c r="A170" s="6"/>
      <c r="B170" s="4"/>
      <c r="C170" s="4"/>
      <c r="D170" s="5"/>
      <c r="E170" s="5"/>
      <c r="F170" s="5"/>
      <c r="G170" s="5"/>
      <c r="H170" s="5"/>
      <c r="I170" s="4"/>
    </row>
    <row r="171" spans="1:9" ht="17.25" customHeight="1">
      <c r="A171" s="6"/>
      <c r="B171" s="4"/>
      <c r="C171" s="4"/>
      <c r="D171" s="5"/>
      <c r="E171" s="5"/>
      <c r="F171" s="5"/>
      <c r="G171" s="5"/>
      <c r="H171" s="5"/>
      <c r="I171" s="4"/>
    </row>
    <row r="172" spans="1:9" ht="17.25" customHeight="1">
      <c r="A172" s="6"/>
      <c r="B172" s="4"/>
      <c r="C172" s="4"/>
      <c r="D172" s="5"/>
      <c r="E172" s="5"/>
      <c r="F172" s="5"/>
      <c r="G172" s="5"/>
      <c r="H172" s="5"/>
      <c r="I172" s="4"/>
    </row>
    <row r="173" spans="1:9" ht="17.25" customHeight="1">
      <c r="A173" s="6"/>
      <c r="B173" s="4"/>
      <c r="C173" s="4"/>
      <c r="D173" s="5"/>
      <c r="E173" s="5"/>
      <c r="F173" s="5"/>
      <c r="G173" s="5"/>
      <c r="H173" s="5"/>
      <c r="I173" s="4"/>
    </row>
    <row r="174" spans="1:9" ht="17.25" customHeight="1">
      <c r="A174" s="6"/>
      <c r="B174" s="4"/>
      <c r="C174" s="4"/>
      <c r="D174" s="5"/>
      <c r="E174" s="5"/>
      <c r="F174" s="5"/>
      <c r="G174" s="5"/>
      <c r="H174" s="5"/>
      <c r="I174" s="4"/>
    </row>
    <row r="175" spans="1:9" ht="17.25" customHeight="1">
      <c r="A175" s="6"/>
      <c r="B175" s="4"/>
      <c r="C175" s="4"/>
      <c r="D175" s="5"/>
      <c r="E175" s="5"/>
      <c r="F175" s="5"/>
      <c r="G175" s="5"/>
      <c r="H175" s="5"/>
      <c r="I175" s="4"/>
    </row>
    <row r="176" spans="1:9" ht="17.25" customHeight="1">
      <c r="A176" s="6"/>
      <c r="B176" s="4"/>
      <c r="C176" s="4"/>
      <c r="D176" s="5"/>
      <c r="E176" s="5"/>
      <c r="F176" s="5"/>
      <c r="G176" s="5"/>
      <c r="H176" s="5"/>
      <c r="I176" s="4"/>
    </row>
    <row r="177" spans="1:9" ht="17.25" customHeight="1">
      <c r="A177" s="6"/>
      <c r="B177" s="4"/>
      <c r="C177" s="4"/>
      <c r="D177" s="5"/>
      <c r="E177" s="5"/>
      <c r="F177" s="5"/>
      <c r="G177" s="5"/>
      <c r="H177" s="5"/>
      <c r="I177" s="4"/>
    </row>
    <row r="178" spans="1:9" ht="17.25" customHeight="1">
      <c r="A178" s="6"/>
      <c r="B178" s="4"/>
      <c r="C178" s="4"/>
      <c r="D178" s="5"/>
      <c r="E178" s="5"/>
      <c r="F178" s="5"/>
      <c r="G178" s="5"/>
      <c r="H178" s="5"/>
      <c r="I178" s="4"/>
    </row>
    <row r="179" spans="1:9" ht="17.25" customHeight="1">
      <c r="A179" s="6"/>
      <c r="B179" s="4"/>
      <c r="C179" s="4"/>
      <c r="D179" s="5"/>
      <c r="E179" s="5"/>
      <c r="F179" s="5"/>
      <c r="G179" s="5"/>
      <c r="H179" s="5"/>
      <c r="I179" s="4"/>
    </row>
    <row r="180" spans="1:9" ht="17.25" customHeight="1">
      <c r="A180" s="6"/>
      <c r="B180" s="4"/>
      <c r="C180" s="4"/>
      <c r="D180" s="5"/>
      <c r="E180" s="5"/>
      <c r="F180" s="5"/>
      <c r="G180" s="5"/>
      <c r="H180" s="5"/>
      <c r="I180" s="4"/>
    </row>
    <row r="181" spans="1:9" ht="17.25" customHeight="1">
      <c r="A181" s="6"/>
      <c r="B181" s="4"/>
      <c r="C181" s="4"/>
      <c r="D181" s="5"/>
      <c r="E181" s="5"/>
      <c r="F181" s="5"/>
      <c r="G181" s="5"/>
      <c r="H181" s="5"/>
      <c r="I181" s="4"/>
    </row>
    <row r="182" spans="1:9" ht="17.25" customHeight="1">
      <c r="A182" s="6"/>
      <c r="B182" s="4"/>
      <c r="C182" s="4"/>
      <c r="D182" s="5"/>
      <c r="E182" s="5"/>
      <c r="F182" s="5"/>
      <c r="G182" s="5"/>
      <c r="H182" s="5"/>
      <c r="I182" s="4"/>
    </row>
    <row r="183" spans="1:9" ht="17.25" customHeight="1">
      <c r="A183" s="6"/>
      <c r="B183" s="4"/>
      <c r="C183" s="4"/>
      <c r="D183" s="5"/>
      <c r="E183" s="5"/>
      <c r="F183" s="5"/>
      <c r="G183" s="5"/>
      <c r="H183" s="5"/>
      <c r="I183" s="4"/>
    </row>
    <row r="184" spans="1:9" ht="17.25" customHeight="1">
      <c r="A184" s="6"/>
      <c r="B184" s="4"/>
      <c r="C184" s="4"/>
      <c r="D184" s="5"/>
      <c r="E184" s="5"/>
      <c r="F184" s="5"/>
      <c r="G184" s="5"/>
      <c r="H184" s="5"/>
      <c r="I184" s="4"/>
    </row>
    <row r="185" spans="1:9" ht="17.25" customHeight="1">
      <c r="A185" s="6"/>
      <c r="B185" s="4"/>
      <c r="C185" s="4"/>
      <c r="D185" s="5"/>
      <c r="E185" s="5"/>
      <c r="F185" s="5"/>
      <c r="G185" s="5"/>
      <c r="H185" s="5"/>
      <c r="I185" s="4"/>
    </row>
    <row r="186" spans="1:9" ht="17.25" customHeight="1">
      <c r="A186" s="6"/>
      <c r="B186" s="4"/>
      <c r="C186" s="4"/>
      <c r="D186" s="5"/>
      <c r="E186" s="5"/>
      <c r="F186" s="5"/>
      <c r="G186" s="5"/>
      <c r="H186" s="5"/>
      <c r="I186" s="4"/>
    </row>
    <row r="187" spans="1:9" ht="17.25" customHeight="1">
      <c r="A187" s="6"/>
      <c r="B187" s="4"/>
      <c r="C187" s="4"/>
      <c r="D187" s="5"/>
      <c r="E187" s="5"/>
      <c r="F187" s="5"/>
      <c r="G187" s="5"/>
      <c r="H187" s="5"/>
      <c r="I187" s="4"/>
    </row>
    <row r="188" spans="1:9" ht="17.25" customHeight="1">
      <c r="A188" s="6"/>
      <c r="B188" s="4"/>
      <c r="C188" s="4"/>
      <c r="D188" s="5"/>
      <c r="E188" s="5"/>
      <c r="F188" s="5"/>
      <c r="G188" s="5"/>
      <c r="H188" s="5"/>
      <c r="I188" s="4"/>
    </row>
    <row r="189" spans="1:9" ht="17.25" customHeight="1">
      <c r="A189" s="6"/>
      <c r="B189" s="4"/>
      <c r="C189" s="4"/>
      <c r="D189" s="5"/>
      <c r="E189" s="5"/>
      <c r="F189" s="5"/>
      <c r="G189" s="5"/>
      <c r="H189" s="5"/>
      <c r="I189" s="4"/>
    </row>
    <row r="190" spans="1:9" ht="17.25" customHeight="1">
      <c r="A190" s="6"/>
      <c r="B190" s="4"/>
      <c r="C190" s="4"/>
      <c r="D190" s="5"/>
      <c r="E190" s="5"/>
      <c r="F190" s="5"/>
      <c r="G190" s="5"/>
      <c r="H190" s="5"/>
      <c r="I190" s="4"/>
    </row>
    <row r="191" spans="1:9" ht="17.25" customHeight="1">
      <c r="A191" s="6"/>
      <c r="B191" s="4"/>
      <c r="C191" s="4"/>
      <c r="D191" s="5"/>
      <c r="E191" s="5"/>
      <c r="F191" s="5"/>
      <c r="G191" s="5"/>
      <c r="H191" s="5"/>
      <c r="I191" s="4"/>
    </row>
    <row r="192" spans="1:9" ht="17.25" customHeight="1">
      <c r="A192" s="6"/>
      <c r="B192" s="4"/>
      <c r="C192" s="4"/>
      <c r="D192" s="5"/>
      <c r="E192" s="5"/>
      <c r="F192" s="5"/>
      <c r="G192" s="5"/>
      <c r="H192" s="5"/>
      <c r="I192" s="4"/>
    </row>
    <row r="193" spans="1:9" ht="17.25" customHeight="1">
      <c r="A193" s="6"/>
      <c r="B193" s="4"/>
      <c r="C193" s="4"/>
      <c r="D193" s="5"/>
      <c r="E193" s="5"/>
      <c r="F193" s="5"/>
      <c r="G193" s="5"/>
      <c r="H193" s="5"/>
      <c r="I193" s="4"/>
    </row>
    <row r="194" spans="1:9" ht="17.25" customHeight="1">
      <c r="A194" s="6"/>
      <c r="B194" s="4"/>
      <c r="C194" s="4"/>
      <c r="D194" s="5"/>
      <c r="E194" s="5"/>
      <c r="F194" s="5"/>
      <c r="G194" s="5"/>
      <c r="H194" s="5"/>
      <c r="I194" s="4"/>
    </row>
    <row r="195" spans="1:9" ht="17.25" customHeight="1">
      <c r="A195" s="6"/>
      <c r="B195" s="4"/>
      <c r="C195" s="4"/>
      <c r="D195" s="5"/>
      <c r="E195" s="5"/>
      <c r="F195" s="5"/>
      <c r="G195" s="5"/>
      <c r="H195" s="5"/>
      <c r="I195" s="4"/>
    </row>
    <row r="196" spans="1:9" ht="17.25" customHeight="1">
      <c r="A196" s="6"/>
      <c r="B196" s="4"/>
      <c r="C196" s="4"/>
      <c r="D196" s="5"/>
      <c r="E196" s="5"/>
      <c r="F196" s="5"/>
      <c r="G196" s="5"/>
      <c r="H196" s="5"/>
      <c r="I196" s="4"/>
    </row>
    <row r="197" spans="1:9" ht="17.25" customHeight="1">
      <c r="A197" s="6"/>
      <c r="B197" s="4"/>
      <c r="C197" s="4"/>
      <c r="D197" s="5"/>
      <c r="E197" s="5"/>
      <c r="F197" s="5"/>
      <c r="G197" s="5"/>
      <c r="H197" s="5"/>
      <c r="I197" s="4"/>
    </row>
    <row r="198" spans="1:9" ht="17.25" customHeight="1">
      <c r="A198" s="6"/>
      <c r="B198" s="4"/>
      <c r="C198" s="4"/>
      <c r="D198" s="5"/>
      <c r="E198" s="5"/>
      <c r="F198" s="5"/>
      <c r="G198" s="5"/>
      <c r="H198" s="5"/>
      <c r="I198" s="4"/>
    </row>
    <row r="199" spans="1:9" ht="17.25" customHeight="1">
      <c r="A199" s="6"/>
      <c r="B199" s="4"/>
      <c r="C199" s="4"/>
      <c r="D199" s="5"/>
      <c r="E199" s="5"/>
      <c r="F199" s="5"/>
      <c r="G199" s="5"/>
      <c r="H199" s="5"/>
      <c r="I199" s="4"/>
    </row>
    <row r="200" spans="1:9" ht="17.25" customHeight="1">
      <c r="A200" s="6"/>
      <c r="B200" s="4"/>
      <c r="C200" s="4"/>
      <c r="D200" s="5"/>
      <c r="E200" s="5"/>
      <c r="F200" s="5"/>
      <c r="G200" s="5"/>
      <c r="H200" s="5"/>
      <c r="I200" s="4"/>
    </row>
    <row r="201" spans="1:9" ht="17.25" customHeight="1">
      <c r="A201" s="6"/>
      <c r="B201" s="4"/>
      <c r="C201" s="4"/>
      <c r="D201" s="5"/>
      <c r="E201" s="5"/>
      <c r="F201" s="5"/>
      <c r="G201" s="5"/>
      <c r="H201" s="5"/>
      <c r="I201" s="4"/>
    </row>
    <row r="202" spans="1:9" ht="17.25" customHeight="1">
      <c r="A202" s="6"/>
      <c r="B202" s="4"/>
      <c r="C202" s="4"/>
      <c r="D202" s="5"/>
      <c r="E202" s="5"/>
      <c r="F202" s="5"/>
      <c r="G202" s="5"/>
      <c r="H202" s="5"/>
      <c r="I202" s="4"/>
    </row>
    <row r="203" spans="1:9" ht="17.25" customHeight="1">
      <c r="A203" s="6"/>
      <c r="B203" s="4"/>
      <c r="C203" s="4"/>
      <c r="D203" s="5"/>
      <c r="E203" s="5"/>
      <c r="F203" s="5"/>
      <c r="G203" s="5"/>
      <c r="H203" s="5"/>
      <c r="I203" s="4"/>
    </row>
    <row r="204" spans="1:9" ht="17.25" customHeight="1">
      <c r="A204" s="6"/>
      <c r="B204" s="4"/>
      <c r="C204" s="4"/>
      <c r="D204" s="5"/>
      <c r="E204" s="5"/>
      <c r="F204" s="5"/>
      <c r="G204" s="5"/>
      <c r="H204" s="5"/>
      <c r="I204" s="4"/>
    </row>
    <row r="205" spans="1:9" ht="17.25" customHeight="1">
      <c r="A205" s="6"/>
      <c r="B205" s="4"/>
      <c r="C205" s="4"/>
      <c r="D205" s="5"/>
      <c r="E205" s="5"/>
      <c r="F205" s="5"/>
      <c r="G205" s="5"/>
      <c r="H205" s="5"/>
      <c r="I205" s="4"/>
    </row>
    <row r="206" spans="1:9" ht="17.25" customHeight="1">
      <c r="A206" s="6"/>
      <c r="B206" s="4"/>
      <c r="C206" s="4"/>
      <c r="D206" s="5"/>
      <c r="E206" s="5"/>
      <c r="F206" s="5"/>
      <c r="G206" s="5"/>
      <c r="H206" s="5"/>
      <c r="I206" s="4"/>
    </row>
    <row r="207" spans="1:9" ht="17.25" customHeight="1">
      <c r="A207" s="6"/>
      <c r="B207" s="4"/>
      <c r="C207" s="4"/>
      <c r="D207" s="5"/>
      <c r="E207" s="5"/>
      <c r="F207" s="5"/>
      <c r="G207" s="5"/>
      <c r="H207" s="5"/>
      <c r="I207" s="4"/>
    </row>
    <row r="208" spans="1:9" ht="17.25" customHeight="1">
      <c r="A208" s="6"/>
      <c r="B208" s="4"/>
      <c r="C208" s="4"/>
      <c r="D208" s="5"/>
      <c r="E208" s="5"/>
      <c r="F208" s="5"/>
      <c r="G208" s="5"/>
      <c r="H208" s="5"/>
      <c r="I208" s="4"/>
    </row>
    <row r="209" spans="1:9" ht="17.25" customHeight="1">
      <c r="A209" s="6"/>
      <c r="B209" s="4"/>
      <c r="C209" s="4"/>
      <c r="D209" s="5"/>
      <c r="E209" s="5"/>
      <c r="F209" s="5"/>
      <c r="G209" s="5"/>
      <c r="H209" s="5"/>
      <c r="I209" s="4"/>
    </row>
    <row r="210" spans="1:9" ht="17.25" customHeight="1">
      <c r="A210" s="6"/>
      <c r="B210" s="4"/>
      <c r="C210" s="4"/>
      <c r="D210" s="5"/>
      <c r="E210" s="5"/>
      <c r="F210" s="5"/>
      <c r="G210" s="5"/>
      <c r="H210" s="5"/>
      <c r="I210" s="4"/>
    </row>
    <row r="211" spans="1:9" ht="17.25" customHeight="1">
      <c r="A211" s="6"/>
      <c r="B211" s="4"/>
      <c r="C211" s="4"/>
      <c r="D211" s="5"/>
      <c r="E211" s="5"/>
      <c r="F211" s="5"/>
      <c r="G211" s="5"/>
      <c r="H211" s="5"/>
      <c r="I211" s="4"/>
    </row>
    <row r="212" spans="1:9" ht="17.25" customHeight="1">
      <c r="A212" s="6"/>
      <c r="B212" s="4"/>
      <c r="C212" s="4"/>
      <c r="D212" s="5"/>
      <c r="E212" s="5"/>
      <c r="F212" s="5"/>
      <c r="G212" s="5"/>
      <c r="H212" s="5"/>
      <c r="I212" s="4"/>
    </row>
    <row r="213" spans="1:9" ht="17.25" customHeight="1">
      <c r="A213" s="6"/>
      <c r="B213" s="4"/>
      <c r="C213" s="4"/>
      <c r="D213" s="5"/>
      <c r="E213" s="5"/>
      <c r="F213" s="5"/>
      <c r="G213" s="5"/>
      <c r="H213" s="5"/>
      <c r="I213" s="4"/>
    </row>
    <row r="214" spans="1:9" ht="17.25" customHeight="1">
      <c r="A214" s="6"/>
      <c r="B214" s="4"/>
      <c r="C214" s="4"/>
      <c r="D214" s="5"/>
      <c r="E214" s="5"/>
      <c r="F214" s="5"/>
      <c r="G214" s="5"/>
      <c r="H214" s="5"/>
      <c r="I214" s="4"/>
    </row>
    <row r="215" spans="1:9" ht="17.25" customHeight="1">
      <c r="A215" s="6"/>
      <c r="B215" s="4"/>
      <c r="C215" s="4"/>
      <c r="D215" s="5"/>
      <c r="E215" s="5"/>
      <c r="F215" s="5"/>
      <c r="G215" s="5"/>
      <c r="H215" s="5"/>
      <c r="I215" s="4"/>
    </row>
    <row r="216" spans="1:9" ht="17.25" customHeight="1">
      <c r="A216" s="6"/>
      <c r="B216" s="4"/>
      <c r="C216" s="4"/>
      <c r="D216" s="5"/>
      <c r="E216" s="5"/>
      <c r="F216" s="5"/>
      <c r="G216" s="5"/>
      <c r="H216" s="5"/>
      <c r="I216" s="4"/>
    </row>
    <row r="217" spans="1:9" ht="17.25" customHeight="1">
      <c r="A217" s="6"/>
      <c r="B217" s="4"/>
      <c r="C217" s="4"/>
      <c r="D217" s="5"/>
      <c r="E217" s="5"/>
      <c r="F217" s="5"/>
      <c r="G217" s="5"/>
      <c r="H217" s="5"/>
      <c r="I217" s="4"/>
    </row>
    <row r="218" spans="1:9" ht="17.25" customHeight="1">
      <c r="A218" s="6"/>
      <c r="B218" s="4"/>
      <c r="C218" s="4"/>
      <c r="D218" s="5"/>
      <c r="E218" s="5"/>
      <c r="F218" s="5"/>
      <c r="G218" s="5"/>
      <c r="H218" s="5"/>
      <c r="I218" s="4"/>
    </row>
    <row r="219" spans="1:9" ht="17.25" customHeight="1">
      <c r="A219" s="6"/>
      <c r="B219" s="4"/>
      <c r="C219" s="4"/>
      <c r="D219" s="5"/>
      <c r="E219" s="5"/>
      <c r="F219" s="5"/>
      <c r="G219" s="5"/>
      <c r="H219" s="5"/>
      <c r="I219" s="4"/>
    </row>
    <row r="220" spans="1:9" ht="17.25" customHeight="1">
      <c r="A220" s="6"/>
      <c r="B220" s="4"/>
      <c r="C220" s="4"/>
      <c r="D220" s="5"/>
      <c r="E220" s="5"/>
      <c r="F220" s="5"/>
      <c r="G220" s="5"/>
      <c r="H220" s="5"/>
      <c r="I220" s="4"/>
    </row>
    <row r="221" spans="1:9" ht="17.25" customHeight="1">
      <c r="A221" s="6"/>
      <c r="B221" s="4"/>
      <c r="C221" s="4"/>
      <c r="D221" s="5"/>
      <c r="E221" s="5"/>
      <c r="F221" s="5"/>
      <c r="G221" s="5"/>
      <c r="H221" s="5"/>
      <c r="I221" s="4"/>
    </row>
    <row r="222" spans="1:9" ht="17.25" customHeight="1">
      <c r="A222" s="6"/>
      <c r="B222" s="4"/>
      <c r="C222" s="4"/>
      <c r="D222" s="5"/>
      <c r="E222" s="5"/>
      <c r="F222" s="5"/>
      <c r="G222" s="5"/>
      <c r="H222" s="5"/>
      <c r="I222" s="4"/>
    </row>
    <row r="223" spans="1:9" ht="17.25" customHeight="1">
      <c r="A223" s="6"/>
      <c r="B223" s="4"/>
      <c r="C223" s="4"/>
      <c r="D223" s="5"/>
      <c r="E223" s="5"/>
      <c r="F223" s="5"/>
      <c r="G223" s="5"/>
      <c r="H223" s="5"/>
      <c r="I223" s="4"/>
    </row>
    <row r="224" spans="1:9" ht="17.25" customHeight="1">
      <c r="A224" s="6"/>
      <c r="B224" s="4"/>
      <c r="C224" s="4"/>
      <c r="D224" s="5"/>
      <c r="E224" s="5"/>
      <c r="F224" s="5"/>
      <c r="G224" s="5"/>
      <c r="H224" s="5"/>
      <c r="I224" s="4"/>
    </row>
    <row r="225" spans="1:9" ht="17.25" customHeight="1">
      <c r="A225" s="6"/>
      <c r="B225" s="4"/>
      <c r="C225" s="4"/>
      <c r="D225" s="5"/>
      <c r="E225" s="5"/>
      <c r="F225" s="5"/>
      <c r="G225" s="5"/>
      <c r="H225" s="5"/>
      <c r="I225" s="4"/>
    </row>
    <row r="226" spans="1:9" ht="17.25" customHeight="1">
      <c r="A226" s="6"/>
      <c r="B226" s="4"/>
      <c r="C226" s="4"/>
      <c r="D226" s="5"/>
      <c r="E226" s="5"/>
      <c r="F226" s="5"/>
      <c r="G226" s="5"/>
      <c r="H226" s="5"/>
      <c r="I226" s="4"/>
    </row>
    <row r="227" spans="1:9" ht="17.25" customHeight="1">
      <c r="A227" s="6"/>
      <c r="B227" s="4"/>
      <c r="C227" s="4"/>
      <c r="D227" s="5"/>
      <c r="E227" s="5"/>
      <c r="F227" s="5"/>
      <c r="G227" s="5"/>
      <c r="H227" s="5"/>
      <c r="I227" s="4"/>
    </row>
    <row r="228" spans="1:9" ht="17.25" customHeight="1">
      <c r="A228" s="6"/>
      <c r="B228" s="4"/>
      <c r="C228" s="4"/>
      <c r="D228" s="5"/>
      <c r="E228" s="5"/>
      <c r="F228" s="5"/>
      <c r="G228" s="5"/>
      <c r="H228" s="5"/>
      <c r="I228" s="4"/>
    </row>
    <row r="229" spans="1:9" ht="17.25" customHeight="1">
      <c r="A229" s="6"/>
      <c r="B229" s="4"/>
      <c r="C229" s="4"/>
      <c r="D229" s="5"/>
      <c r="E229" s="5"/>
      <c r="F229" s="5"/>
      <c r="G229" s="5"/>
      <c r="H229" s="5"/>
      <c r="I229" s="4"/>
    </row>
    <row r="230" spans="1:9" ht="17.25" customHeight="1">
      <c r="A230" s="6"/>
      <c r="B230" s="4"/>
      <c r="C230" s="4"/>
      <c r="D230" s="5"/>
      <c r="E230" s="5"/>
      <c r="F230" s="5"/>
      <c r="G230" s="5"/>
      <c r="H230" s="5"/>
      <c r="I230" s="4"/>
    </row>
    <row r="231" spans="1:9" ht="17.25" customHeight="1">
      <c r="A231" s="6"/>
      <c r="B231" s="4"/>
      <c r="C231" s="4"/>
      <c r="D231" s="5"/>
      <c r="E231" s="5"/>
      <c r="F231" s="5"/>
      <c r="G231" s="5"/>
      <c r="H231" s="5"/>
      <c r="I231" s="4"/>
    </row>
    <row r="232" spans="1:9" ht="17.25" customHeight="1">
      <c r="A232" s="6"/>
      <c r="B232" s="4"/>
      <c r="C232" s="4"/>
      <c r="D232" s="5"/>
      <c r="E232" s="5"/>
      <c r="F232" s="5"/>
      <c r="G232" s="5"/>
      <c r="H232" s="5"/>
      <c r="I232" s="4"/>
    </row>
    <row r="233" spans="1:9" ht="17.25" customHeight="1">
      <c r="A233" s="6"/>
      <c r="B233" s="4"/>
      <c r="C233" s="4"/>
      <c r="D233" s="5"/>
      <c r="E233" s="5"/>
      <c r="F233" s="5"/>
      <c r="G233" s="5"/>
      <c r="H233" s="5"/>
      <c r="I233" s="4"/>
    </row>
    <row r="234" spans="1:9" ht="17.25" customHeight="1">
      <c r="A234" s="6"/>
      <c r="B234" s="4"/>
      <c r="C234" s="4"/>
      <c r="D234" s="5"/>
      <c r="E234" s="5"/>
      <c r="F234" s="5"/>
      <c r="G234" s="5"/>
      <c r="H234" s="5"/>
      <c r="I234" s="4"/>
    </row>
    <row r="235" spans="1:9" ht="17.25" customHeight="1">
      <c r="A235" s="6"/>
      <c r="B235" s="4"/>
      <c r="C235" s="4"/>
      <c r="D235" s="5"/>
      <c r="E235" s="5"/>
      <c r="F235" s="5"/>
      <c r="G235" s="5"/>
      <c r="H235" s="5"/>
      <c r="I235" s="4"/>
    </row>
    <row r="236" spans="1:9" ht="17.25" customHeight="1">
      <c r="A236" s="6"/>
      <c r="B236" s="4"/>
      <c r="C236" s="4"/>
      <c r="D236" s="5"/>
      <c r="E236" s="5"/>
      <c r="F236" s="5"/>
      <c r="G236" s="5"/>
      <c r="H236" s="5"/>
      <c r="I236" s="4"/>
    </row>
    <row r="237" spans="1:9" ht="17.25" customHeight="1">
      <c r="A237" s="6"/>
      <c r="B237" s="4"/>
      <c r="C237" s="4"/>
      <c r="D237" s="5"/>
      <c r="E237" s="5"/>
      <c r="F237" s="5"/>
      <c r="G237" s="5"/>
      <c r="H237" s="5"/>
      <c r="I237" s="4"/>
    </row>
    <row r="238" spans="1:9" ht="17.25" customHeight="1">
      <c r="A238" s="6"/>
      <c r="B238" s="4"/>
      <c r="C238" s="4"/>
      <c r="D238" s="5"/>
      <c r="E238" s="5"/>
      <c r="F238" s="5"/>
      <c r="G238" s="5"/>
      <c r="H238" s="5"/>
      <c r="I238" s="4"/>
    </row>
    <row r="239" spans="1:9" ht="17.25" customHeight="1">
      <c r="A239" s="6"/>
      <c r="B239" s="4"/>
      <c r="C239" s="4"/>
      <c r="D239" s="5"/>
      <c r="E239" s="5"/>
      <c r="F239" s="5"/>
      <c r="G239" s="5"/>
      <c r="H239" s="5"/>
      <c r="I239" s="4"/>
    </row>
    <row r="240" spans="1:9" ht="17.25" customHeight="1">
      <c r="A240" s="6"/>
      <c r="B240" s="4"/>
      <c r="C240" s="4"/>
      <c r="D240" s="5"/>
      <c r="E240" s="5"/>
      <c r="F240" s="5"/>
      <c r="G240" s="5"/>
      <c r="H240" s="5"/>
      <c r="I240" s="4"/>
    </row>
    <row r="241" spans="1:9" ht="17.25" customHeight="1">
      <c r="A241" s="6"/>
      <c r="B241" s="4"/>
      <c r="C241" s="4"/>
      <c r="D241" s="5"/>
      <c r="E241" s="5"/>
      <c r="F241" s="5"/>
      <c r="G241" s="5"/>
      <c r="H241" s="5"/>
      <c r="I241" s="4"/>
    </row>
    <row r="242" spans="1:9" ht="17.25" customHeight="1">
      <c r="A242" s="6"/>
      <c r="B242" s="4"/>
      <c r="C242" s="4"/>
      <c r="D242" s="5"/>
      <c r="E242" s="5"/>
      <c r="F242" s="5"/>
      <c r="G242" s="5"/>
      <c r="H242" s="5"/>
      <c r="I242" s="4"/>
    </row>
    <row r="243" spans="1:9" ht="17.25" customHeight="1">
      <c r="A243" s="6"/>
      <c r="B243" s="4"/>
      <c r="C243" s="4"/>
      <c r="D243" s="5"/>
      <c r="E243" s="5"/>
      <c r="F243" s="5"/>
      <c r="G243" s="5"/>
      <c r="H243" s="5"/>
      <c r="I243" s="4"/>
    </row>
    <row r="244" spans="1:9" ht="17.25" customHeight="1">
      <c r="A244" s="6"/>
      <c r="B244" s="4"/>
      <c r="C244" s="4"/>
      <c r="D244" s="5"/>
      <c r="E244" s="5"/>
      <c r="F244" s="5"/>
      <c r="G244" s="5"/>
      <c r="H244" s="5"/>
      <c r="I244" s="4"/>
    </row>
    <row r="245" spans="1:9" ht="17.25" customHeight="1">
      <c r="A245" s="6"/>
      <c r="B245" s="4"/>
      <c r="C245" s="4"/>
      <c r="D245" s="5"/>
      <c r="E245" s="5"/>
      <c r="F245" s="5"/>
      <c r="G245" s="5"/>
      <c r="H245" s="5"/>
      <c r="I245" s="4"/>
    </row>
    <row r="246" spans="1:9" ht="17.25" customHeight="1">
      <c r="A246" s="6"/>
      <c r="B246" s="4"/>
      <c r="C246" s="4"/>
      <c r="D246" s="5"/>
      <c r="E246" s="5"/>
      <c r="F246" s="5"/>
      <c r="G246" s="5"/>
      <c r="H246" s="5"/>
      <c r="I246" s="4"/>
    </row>
    <row r="247" spans="1:9" ht="17.25" customHeight="1">
      <c r="A247" s="6"/>
      <c r="B247" s="4"/>
      <c r="C247" s="4"/>
      <c r="D247" s="5"/>
      <c r="E247" s="5"/>
      <c r="F247" s="5"/>
      <c r="G247" s="5"/>
      <c r="H247" s="5"/>
      <c r="I247" s="4"/>
    </row>
    <row r="248" spans="1:9" ht="17.25" customHeight="1">
      <c r="A248" s="6"/>
      <c r="B248" s="4"/>
      <c r="C248" s="4"/>
      <c r="D248" s="5"/>
      <c r="E248" s="5"/>
      <c r="F248" s="5"/>
      <c r="G248" s="5"/>
      <c r="H248" s="5"/>
      <c r="I248" s="4"/>
    </row>
    <row r="249" spans="1:9" ht="17.25" customHeight="1">
      <c r="A249" s="6"/>
      <c r="B249" s="4"/>
      <c r="C249" s="4"/>
      <c r="D249" s="5"/>
      <c r="E249" s="5"/>
      <c r="F249" s="5"/>
      <c r="G249" s="5"/>
      <c r="H249" s="5"/>
      <c r="I249" s="4"/>
    </row>
    <row r="250" spans="1:9" ht="17.25" customHeight="1">
      <c r="A250" s="6"/>
      <c r="B250" s="4"/>
      <c r="C250" s="4"/>
      <c r="D250" s="5"/>
      <c r="E250" s="5"/>
      <c r="F250" s="5"/>
      <c r="G250" s="5"/>
      <c r="H250" s="5"/>
      <c r="I250" s="4"/>
    </row>
    <row r="251" spans="1:9" ht="17.25" customHeight="1">
      <c r="A251" s="6"/>
      <c r="B251" s="4"/>
      <c r="C251" s="4"/>
      <c r="D251" s="5"/>
      <c r="E251" s="5"/>
      <c r="F251" s="5"/>
      <c r="G251" s="5"/>
      <c r="H251" s="5"/>
      <c r="I251" s="4"/>
    </row>
    <row r="252" spans="1:9" ht="17.25" customHeight="1">
      <c r="A252" s="6"/>
      <c r="B252" s="4"/>
      <c r="C252" s="4"/>
      <c r="D252" s="5"/>
      <c r="E252" s="5"/>
      <c r="F252" s="5"/>
      <c r="G252" s="5"/>
      <c r="H252" s="5"/>
      <c r="I252" s="4"/>
    </row>
    <row r="253" spans="1:9" ht="17.25" customHeight="1">
      <c r="A253" s="6"/>
      <c r="B253" s="4"/>
      <c r="C253" s="4"/>
      <c r="D253" s="5"/>
      <c r="E253" s="5"/>
      <c r="F253" s="5"/>
      <c r="G253" s="5"/>
      <c r="H253" s="5"/>
      <c r="I253" s="4"/>
    </row>
    <row r="254" spans="1:9" ht="17.25" customHeight="1">
      <c r="A254" s="6"/>
      <c r="B254" s="4"/>
      <c r="C254" s="4"/>
      <c r="D254" s="5"/>
      <c r="E254" s="5"/>
      <c r="F254" s="5"/>
      <c r="G254" s="5"/>
      <c r="H254" s="5"/>
      <c r="I254" s="4"/>
    </row>
    <row r="255" spans="1:9" ht="17.25" customHeight="1">
      <c r="A255" s="6"/>
      <c r="B255" s="4"/>
      <c r="C255" s="4"/>
      <c r="D255" s="5"/>
      <c r="E255" s="5"/>
      <c r="F255" s="5"/>
      <c r="G255" s="5"/>
      <c r="H255" s="5"/>
      <c r="I255" s="4"/>
    </row>
    <row r="256" spans="1:9" ht="17.25" customHeight="1">
      <c r="A256" s="6"/>
      <c r="B256" s="4"/>
      <c r="C256" s="4"/>
      <c r="D256" s="5"/>
      <c r="E256" s="5"/>
      <c r="F256" s="5"/>
      <c r="G256" s="5"/>
      <c r="H256" s="5"/>
      <c r="I256" s="4"/>
    </row>
    <row r="257" spans="1:9" ht="17.25" customHeight="1">
      <c r="A257" s="6"/>
      <c r="B257" s="4"/>
      <c r="C257" s="4"/>
      <c r="D257" s="5"/>
      <c r="E257" s="5"/>
      <c r="F257" s="5"/>
      <c r="G257" s="5"/>
      <c r="H257" s="5"/>
      <c r="I257" s="4"/>
    </row>
    <row r="258" spans="1:9" ht="17.25" customHeight="1">
      <c r="A258" s="6"/>
      <c r="B258" s="4"/>
      <c r="C258" s="4"/>
      <c r="D258" s="5"/>
      <c r="E258" s="5"/>
      <c r="F258" s="5"/>
      <c r="G258" s="5"/>
      <c r="H258" s="5"/>
      <c r="I258" s="4"/>
    </row>
    <row r="259" spans="1:9" ht="17.25" customHeight="1">
      <c r="A259" s="6"/>
      <c r="B259" s="4"/>
      <c r="C259" s="4"/>
      <c r="D259" s="5"/>
      <c r="E259" s="5"/>
      <c r="F259" s="5"/>
      <c r="G259" s="5"/>
      <c r="H259" s="5"/>
      <c r="I259" s="4"/>
    </row>
    <row r="260" spans="1:9" ht="17.25" customHeight="1">
      <c r="A260" s="6"/>
      <c r="B260" s="4"/>
      <c r="C260" s="4"/>
      <c r="D260" s="5"/>
      <c r="E260" s="5"/>
      <c r="F260" s="5"/>
      <c r="G260" s="5"/>
      <c r="H260" s="5"/>
      <c r="I260" s="4"/>
    </row>
    <row r="261" spans="1:9" ht="17.25" customHeight="1">
      <c r="A261" s="6"/>
      <c r="B261" s="4"/>
      <c r="C261" s="4"/>
      <c r="D261" s="5"/>
      <c r="E261" s="5"/>
      <c r="F261" s="5"/>
      <c r="G261" s="5"/>
      <c r="H261" s="5"/>
      <c r="I261" s="4"/>
    </row>
    <row r="262" spans="1:9" ht="17.25" customHeight="1">
      <c r="A262" s="6"/>
      <c r="B262" s="4"/>
      <c r="C262" s="4"/>
      <c r="D262" s="5"/>
      <c r="E262" s="5"/>
      <c r="F262" s="5"/>
      <c r="G262" s="5"/>
      <c r="H262" s="5"/>
      <c r="I262" s="4"/>
    </row>
    <row r="263" spans="1:9" ht="17.25" customHeight="1">
      <c r="A263" s="6"/>
      <c r="B263" s="4"/>
      <c r="C263" s="4"/>
      <c r="D263" s="5"/>
      <c r="E263" s="5"/>
      <c r="F263" s="5"/>
      <c r="G263" s="5"/>
      <c r="H263" s="5"/>
      <c r="I263" s="4"/>
    </row>
    <row r="264" spans="1:9" ht="17.25" customHeight="1">
      <c r="A264" s="6"/>
      <c r="B264" s="4"/>
      <c r="C264" s="4"/>
      <c r="D264" s="5"/>
      <c r="E264" s="5"/>
      <c r="F264" s="5"/>
      <c r="G264" s="5"/>
      <c r="H264" s="5"/>
      <c r="I264" s="4"/>
    </row>
    <row r="265" spans="1:9" ht="17.25" customHeight="1">
      <c r="A265" s="6"/>
      <c r="B265" s="4"/>
      <c r="C265" s="4"/>
      <c r="D265" s="5"/>
      <c r="E265" s="5"/>
      <c r="F265" s="5"/>
      <c r="G265" s="5"/>
      <c r="H265" s="5"/>
      <c r="I265" s="4"/>
    </row>
    <row r="266" spans="1:9" ht="17.25" customHeight="1">
      <c r="A266" s="6"/>
      <c r="B266" s="4"/>
      <c r="C266" s="4"/>
      <c r="D266" s="5"/>
      <c r="E266" s="5"/>
      <c r="F266" s="5"/>
      <c r="G266" s="5"/>
      <c r="H266" s="5"/>
      <c r="I266" s="4"/>
    </row>
    <row r="267" spans="1:9" ht="17.25" customHeight="1">
      <c r="A267" s="6"/>
      <c r="B267" s="4"/>
      <c r="C267" s="4"/>
      <c r="D267" s="5"/>
      <c r="E267" s="5"/>
      <c r="F267" s="5"/>
      <c r="G267" s="5"/>
      <c r="H267" s="5"/>
      <c r="I267" s="4"/>
    </row>
    <row r="268" spans="1:9" ht="17.25" customHeight="1">
      <c r="A268" s="6"/>
      <c r="B268" s="4"/>
      <c r="C268" s="4"/>
      <c r="D268" s="5"/>
      <c r="E268" s="5"/>
      <c r="F268" s="5"/>
      <c r="G268" s="5"/>
      <c r="H268" s="5"/>
      <c r="I268" s="4"/>
    </row>
    <row r="269" spans="1:9" ht="17.25" customHeight="1">
      <c r="A269" s="6"/>
      <c r="B269" s="4"/>
      <c r="C269" s="4"/>
      <c r="D269" s="5"/>
      <c r="E269" s="5"/>
      <c r="F269" s="5"/>
      <c r="G269" s="5"/>
      <c r="H269" s="5"/>
      <c r="I269" s="4"/>
    </row>
    <row r="270" spans="1:9" ht="17.25" customHeight="1">
      <c r="A270" s="6"/>
      <c r="B270" s="4"/>
      <c r="C270" s="4"/>
      <c r="D270" s="5"/>
      <c r="E270" s="5"/>
      <c r="F270" s="5"/>
      <c r="G270" s="5"/>
      <c r="H270" s="5"/>
      <c r="I270" s="4"/>
    </row>
    <row r="271" spans="1:9" ht="17.25" customHeight="1">
      <c r="A271" s="6"/>
      <c r="B271" s="4"/>
      <c r="C271" s="4"/>
      <c r="D271" s="5"/>
      <c r="E271" s="5"/>
      <c r="F271" s="5"/>
      <c r="G271" s="5"/>
      <c r="H271" s="5"/>
      <c r="I271" s="4"/>
    </row>
    <row r="272" spans="1:9" ht="17.25" customHeight="1">
      <c r="A272" s="6"/>
      <c r="B272" s="4"/>
      <c r="C272" s="4"/>
      <c r="D272" s="5"/>
      <c r="E272" s="5"/>
      <c r="F272" s="5"/>
      <c r="G272" s="5"/>
      <c r="H272" s="5"/>
      <c r="I272" s="4"/>
    </row>
    <row r="273" spans="1:9" ht="17.25" customHeight="1">
      <c r="A273" s="6"/>
      <c r="B273" s="4"/>
      <c r="C273" s="4"/>
      <c r="D273" s="5"/>
      <c r="E273" s="5"/>
      <c r="F273" s="5"/>
      <c r="G273" s="5"/>
      <c r="H273" s="5"/>
      <c r="I273" s="4"/>
    </row>
    <row r="274" spans="1:9" ht="17.25" customHeight="1">
      <c r="A274" s="6"/>
      <c r="B274" s="4"/>
      <c r="C274" s="4"/>
      <c r="D274" s="5"/>
      <c r="E274" s="5"/>
      <c r="F274" s="5"/>
      <c r="G274" s="5"/>
      <c r="H274" s="5"/>
      <c r="I274" s="4"/>
    </row>
    <row r="275" spans="1:9" ht="17.25" customHeight="1">
      <c r="A275" s="6"/>
      <c r="B275" s="4"/>
      <c r="C275" s="4"/>
      <c r="D275" s="5"/>
      <c r="E275" s="5"/>
      <c r="F275" s="5"/>
      <c r="G275" s="5"/>
      <c r="H275" s="5"/>
      <c r="I275" s="4"/>
    </row>
    <row r="276" spans="1:9" ht="17.25" customHeight="1">
      <c r="A276" s="6"/>
      <c r="B276" s="4"/>
      <c r="C276" s="4"/>
      <c r="D276" s="5"/>
      <c r="E276" s="5"/>
      <c r="F276" s="5"/>
      <c r="G276" s="5"/>
      <c r="H276" s="5"/>
      <c r="I276" s="4"/>
    </row>
    <row r="277" spans="1:9" ht="17.25" customHeight="1">
      <c r="A277" s="6"/>
      <c r="B277" s="4"/>
      <c r="C277" s="4"/>
      <c r="D277" s="5"/>
      <c r="E277" s="5"/>
      <c r="F277" s="5"/>
      <c r="G277" s="5"/>
      <c r="H277" s="5"/>
      <c r="I277" s="4"/>
    </row>
    <row r="278" spans="1:9" ht="17.25" customHeight="1">
      <c r="A278" s="6"/>
      <c r="B278" s="4"/>
      <c r="C278" s="4"/>
      <c r="D278" s="5"/>
      <c r="E278" s="5"/>
      <c r="F278" s="5"/>
      <c r="G278" s="5"/>
      <c r="H278" s="5"/>
      <c r="I278" s="4"/>
    </row>
    <row r="279" spans="1:9" ht="17.25" customHeight="1">
      <c r="A279" s="6"/>
      <c r="B279" s="4"/>
      <c r="C279" s="4"/>
      <c r="D279" s="5"/>
      <c r="E279" s="5"/>
      <c r="F279" s="5"/>
      <c r="G279" s="5"/>
      <c r="H279" s="5"/>
      <c r="I279" s="4"/>
    </row>
    <row r="280" spans="1:9" ht="17.25" customHeight="1">
      <c r="A280" s="6"/>
      <c r="B280" s="4"/>
      <c r="C280" s="4"/>
      <c r="D280" s="5"/>
      <c r="E280" s="5"/>
      <c r="F280" s="5"/>
      <c r="G280" s="5"/>
      <c r="H280" s="5"/>
      <c r="I280" s="4"/>
    </row>
    <row r="281" spans="1:9" ht="17.25" customHeight="1">
      <c r="A281" s="6"/>
      <c r="B281" s="4"/>
      <c r="C281" s="4"/>
      <c r="D281" s="5"/>
      <c r="E281" s="5"/>
      <c r="F281" s="5"/>
      <c r="G281" s="5"/>
      <c r="H281" s="5"/>
      <c r="I281" s="4"/>
    </row>
    <row r="282" spans="1:9" ht="17.25" customHeight="1">
      <c r="A282" s="6"/>
      <c r="B282" s="4"/>
      <c r="C282" s="4"/>
      <c r="D282" s="5"/>
      <c r="E282" s="5"/>
      <c r="F282" s="5"/>
      <c r="G282" s="5"/>
      <c r="H282" s="5"/>
      <c r="I282" s="4"/>
    </row>
    <row r="283" spans="1:9" ht="17.25" customHeight="1">
      <c r="A283" s="6"/>
      <c r="B283" s="4"/>
      <c r="C283" s="4"/>
      <c r="D283" s="5"/>
      <c r="E283" s="5"/>
      <c r="F283" s="5"/>
      <c r="G283" s="5"/>
      <c r="H283" s="5"/>
      <c r="I283" s="4"/>
    </row>
    <row r="284" spans="1:9" ht="17.25" customHeight="1">
      <c r="A284" s="6"/>
      <c r="B284" s="4"/>
      <c r="C284" s="4"/>
      <c r="D284" s="5"/>
      <c r="E284" s="5"/>
      <c r="F284" s="5"/>
      <c r="G284" s="5"/>
      <c r="H284" s="5"/>
      <c r="I284" s="4"/>
    </row>
    <row r="285" spans="1:9" ht="17.25" customHeight="1">
      <c r="A285" s="6"/>
      <c r="B285" s="4"/>
      <c r="C285" s="4"/>
      <c r="D285" s="5"/>
      <c r="E285" s="5"/>
      <c r="F285" s="5"/>
      <c r="G285" s="5"/>
      <c r="H285" s="5"/>
      <c r="I285" s="4"/>
    </row>
    <row r="286" spans="1:9" ht="17.25" customHeight="1">
      <c r="A286" s="6"/>
      <c r="B286" s="4"/>
      <c r="C286" s="4"/>
      <c r="D286" s="5"/>
      <c r="E286" s="5"/>
      <c r="F286" s="5"/>
      <c r="G286" s="5"/>
      <c r="H286" s="5"/>
      <c r="I286" s="4"/>
    </row>
    <row r="287" spans="1:9" ht="17.25" customHeight="1">
      <c r="A287" s="6"/>
      <c r="B287" s="4"/>
      <c r="C287" s="4"/>
      <c r="D287" s="5"/>
      <c r="E287" s="5"/>
      <c r="F287" s="5"/>
      <c r="G287" s="5"/>
      <c r="H287" s="5"/>
      <c r="I287" s="4"/>
    </row>
    <row r="288" spans="1:9" ht="17.25" customHeight="1">
      <c r="A288" s="6"/>
      <c r="B288" s="4"/>
      <c r="C288" s="4"/>
      <c r="D288" s="5"/>
      <c r="E288" s="5"/>
      <c r="F288" s="5"/>
      <c r="G288" s="5"/>
      <c r="H288" s="5"/>
      <c r="I288" s="4"/>
    </row>
    <row r="289" spans="1:9" ht="17.25" customHeight="1">
      <c r="A289" s="6"/>
      <c r="B289" s="4"/>
      <c r="C289" s="4"/>
      <c r="D289" s="5"/>
      <c r="E289" s="5"/>
      <c r="F289" s="5"/>
      <c r="G289" s="5"/>
      <c r="H289" s="5"/>
      <c r="I289" s="4"/>
    </row>
    <row r="290" spans="1:9" ht="17.25" customHeight="1">
      <c r="A290" s="6"/>
      <c r="B290" s="4"/>
      <c r="C290" s="4"/>
      <c r="D290" s="5"/>
      <c r="E290" s="5"/>
      <c r="F290" s="5"/>
      <c r="G290" s="5"/>
      <c r="H290" s="5"/>
      <c r="I290" s="4"/>
    </row>
    <row r="291" spans="1:9" ht="17.25" customHeight="1">
      <c r="A291" s="6"/>
      <c r="B291" s="4"/>
      <c r="C291" s="4"/>
      <c r="D291" s="5"/>
      <c r="E291" s="5"/>
      <c r="F291" s="5"/>
      <c r="G291" s="5"/>
      <c r="H291" s="5"/>
      <c r="I291" s="4"/>
    </row>
    <row r="292" spans="1:9" ht="17.25" customHeight="1">
      <c r="A292" s="6"/>
      <c r="B292" s="4"/>
      <c r="C292" s="4"/>
      <c r="D292" s="5"/>
      <c r="E292" s="5"/>
      <c r="F292" s="5"/>
      <c r="G292" s="5"/>
      <c r="H292" s="5"/>
      <c r="I292" s="4"/>
    </row>
    <row r="293" spans="1:9" ht="17.25" customHeight="1">
      <c r="A293" s="6"/>
      <c r="B293" s="4"/>
      <c r="C293" s="4"/>
      <c r="D293" s="5"/>
      <c r="E293" s="5"/>
      <c r="F293" s="5"/>
      <c r="G293" s="5"/>
      <c r="H293" s="5"/>
      <c r="I293" s="4"/>
    </row>
    <row r="294" spans="1:9" ht="17.25" customHeight="1">
      <c r="A294" s="6"/>
      <c r="B294" s="4"/>
      <c r="C294" s="4"/>
      <c r="D294" s="5"/>
      <c r="E294" s="5"/>
      <c r="F294" s="5"/>
      <c r="G294" s="5"/>
      <c r="H294" s="5"/>
      <c r="I294" s="4"/>
    </row>
    <row r="295" spans="1:9" ht="17.25" customHeight="1">
      <c r="A295" s="6"/>
      <c r="B295" s="4"/>
      <c r="C295" s="4"/>
      <c r="D295" s="5"/>
      <c r="E295" s="5"/>
      <c r="F295" s="5"/>
      <c r="G295" s="5"/>
      <c r="H295" s="5"/>
      <c r="I295" s="4"/>
    </row>
    <row r="296" spans="1:9" ht="17.25" customHeight="1">
      <c r="A296" s="6"/>
      <c r="B296" s="4"/>
      <c r="C296" s="4"/>
      <c r="D296" s="5"/>
      <c r="E296" s="5"/>
      <c r="F296" s="5"/>
      <c r="G296" s="5"/>
      <c r="H296" s="5"/>
      <c r="I296" s="4"/>
    </row>
    <row r="297" spans="1:9" ht="17.25" customHeight="1">
      <c r="A297" s="6"/>
      <c r="B297" s="4"/>
      <c r="C297" s="4"/>
      <c r="D297" s="5"/>
      <c r="E297" s="5"/>
      <c r="F297" s="5"/>
      <c r="G297" s="5"/>
      <c r="H297" s="5"/>
      <c r="I297" s="4"/>
    </row>
    <row r="298" spans="1:9" ht="17.25" customHeight="1">
      <c r="A298" s="6"/>
      <c r="B298" s="4"/>
      <c r="C298" s="4"/>
      <c r="D298" s="5"/>
      <c r="E298" s="5"/>
      <c r="F298" s="5"/>
      <c r="G298" s="5"/>
      <c r="H298" s="5"/>
      <c r="I298" s="4"/>
    </row>
    <row r="299" spans="1:9" ht="17.25" customHeight="1">
      <c r="A299" s="6"/>
      <c r="B299" s="4"/>
      <c r="C299" s="4"/>
      <c r="D299" s="5"/>
      <c r="E299" s="5"/>
      <c r="F299" s="5"/>
      <c r="G299" s="5"/>
      <c r="H299" s="5"/>
      <c r="I299" s="4"/>
    </row>
    <row r="300" spans="1:9" ht="17.25" customHeight="1">
      <c r="A300" s="6"/>
      <c r="B300" s="4"/>
      <c r="C300" s="4"/>
      <c r="D300" s="5"/>
      <c r="E300" s="5"/>
      <c r="F300" s="5"/>
      <c r="G300" s="5"/>
      <c r="H300" s="5"/>
      <c r="I300" s="4"/>
    </row>
    <row r="301" spans="1:9" ht="17.25" customHeight="1">
      <c r="A301" s="6"/>
      <c r="B301" s="4"/>
      <c r="C301" s="4"/>
      <c r="D301" s="5"/>
      <c r="E301" s="5"/>
      <c r="F301" s="5"/>
      <c r="G301" s="5"/>
      <c r="H301" s="5"/>
      <c r="I301" s="4"/>
    </row>
    <row r="302" spans="1:9" ht="17.25" customHeight="1">
      <c r="A302" s="6"/>
      <c r="B302" s="4"/>
      <c r="C302" s="4"/>
      <c r="D302" s="5"/>
      <c r="E302" s="5"/>
      <c r="F302" s="5"/>
      <c r="G302" s="5"/>
      <c r="H302" s="5"/>
      <c r="I302" s="4"/>
    </row>
    <row r="303" spans="1:9" ht="17.25" customHeight="1">
      <c r="A303" s="6"/>
      <c r="B303" s="4"/>
      <c r="C303" s="4"/>
      <c r="D303" s="5"/>
      <c r="E303" s="5"/>
      <c r="F303" s="5"/>
      <c r="G303" s="5"/>
      <c r="H303" s="5"/>
      <c r="I303" s="4"/>
    </row>
    <row r="304" spans="1:9" ht="17.25" customHeight="1">
      <c r="A304" s="6"/>
      <c r="B304" s="4"/>
      <c r="C304" s="4"/>
      <c r="D304" s="5"/>
      <c r="E304" s="5"/>
      <c r="F304" s="5"/>
      <c r="G304" s="5"/>
      <c r="H304" s="5"/>
      <c r="I304" s="4"/>
    </row>
    <row r="305" spans="1:9" ht="17.25" customHeight="1">
      <c r="A305" s="6"/>
      <c r="B305" s="4"/>
      <c r="C305" s="4"/>
      <c r="D305" s="5"/>
      <c r="E305" s="5"/>
      <c r="F305" s="5"/>
      <c r="G305" s="5"/>
      <c r="H305" s="5"/>
      <c r="I305" s="4"/>
    </row>
    <row r="306" spans="1:9" ht="17.25" customHeight="1">
      <c r="A306" s="6"/>
      <c r="B306" s="4"/>
      <c r="C306" s="4"/>
      <c r="D306" s="5"/>
      <c r="E306" s="5"/>
      <c r="F306" s="5"/>
      <c r="G306" s="5"/>
      <c r="H306" s="5"/>
      <c r="I306" s="4"/>
    </row>
    <row r="307" spans="1:9" ht="17.25" customHeight="1">
      <c r="A307" s="6"/>
      <c r="B307" s="4"/>
      <c r="C307" s="4"/>
      <c r="D307" s="5"/>
      <c r="E307" s="5"/>
      <c r="F307" s="5"/>
      <c r="G307" s="5"/>
      <c r="H307" s="5"/>
      <c r="I307" s="4"/>
    </row>
    <row r="308" spans="1:9" ht="17.25" customHeight="1">
      <c r="A308" s="6"/>
      <c r="B308" s="4"/>
      <c r="C308" s="4"/>
      <c r="D308" s="5"/>
      <c r="E308" s="5"/>
      <c r="F308" s="5"/>
      <c r="G308" s="5"/>
      <c r="H308" s="5"/>
      <c r="I308" s="4"/>
    </row>
    <row r="309" spans="1:9" ht="17.25" customHeight="1">
      <c r="A309" s="6"/>
      <c r="B309" s="4"/>
      <c r="C309" s="4"/>
      <c r="D309" s="5"/>
      <c r="E309" s="5"/>
      <c r="F309" s="5"/>
      <c r="G309" s="5"/>
      <c r="H309" s="5"/>
      <c r="I309" s="4"/>
    </row>
    <row r="310" spans="1:9" ht="17.25" customHeight="1">
      <c r="A310" s="6"/>
      <c r="B310" s="4"/>
      <c r="C310" s="4"/>
      <c r="D310" s="5"/>
      <c r="E310" s="5"/>
      <c r="F310" s="5"/>
      <c r="G310" s="5"/>
      <c r="H310" s="5"/>
      <c r="I310" s="4"/>
    </row>
    <row r="311" spans="1:9" ht="17.25" customHeight="1">
      <c r="A311" s="6"/>
      <c r="B311" s="4"/>
      <c r="C311" s="4"/>
      <c r="D311" s="5"/>
      <c r="E311" s="5"/>
      <c r="F311" s="5"/>
      <c r="G311" s="5"/>
      <c r="H311" s="5"/>
      <c r="I311" s="4"/>
    </row>
    <row r="312" spans="1:9" ht="17.25" customHeight="1">
      <c r="A312" s="6"/>
      <c r="B312" s="4"/>
      <c r="C312" s="4"/>
      <c r="D312" s="5"/>
      <c r="E312" s="5"/>
      <c r="F312" s="5"/>
      <c r="G312" s="5"/>
      <c r="H312" s="5"/>
      <c r="I312" s="4"/>
    </row>
    <row r="313" spans="1:9" ht="17.25" customHeight="1">
      <c r="A313" s="6"/>
      <c r="B313" s="4"/>
      <c r="C313" s="4"/>
      <c r="D313" s="5"/>
      <c r="E313" s="5"/>
      <c r="F313" s="5"/>
      <c r="G313" s="5"/>
      <c r="H313" s="5"/>
      <c r="I313" s="4"/>
    </row>
    <row r="314" spans="1:9" ht="17.25" customHeight="1">
      <c r="A314" s="6"/>
      <c r="B314" s="4"/>
      <c r="C314" s="4"/>
      <c r="D314" s="5"/>
      <c r="E314" s="5"/>
      <c r="F314" s="5"/>
      <c r="G314" s="5"/>
      <c r="H314" s="5"/>
      <c r="I314" s="4"/>
    </row>
    <row r="315" spans="1:9" ht="17.25" customHeight="1">
      <c r="A315" s="6"/>
      <c r="B315" s="4"/>
      <c r="C315" s="4"/>
      <c r="D315" s="5"/>
      <c r="E315" s="5"/>
      <c r="F315" s="5"/>
      <c r="G315" s="5"/>
      <c r="H315" s="5"/>
      <c r="I315" s="4"/>
    </row>
    <row r="316" spans="1:9" ht="17.25" customHeight="1">
      <c r="A316" s="6"/>
      <c r="B316" s="4"/>
      <c r="C316" s="4"/>
      <c r="D316" s="5"/>
      <c r="E316" s="5"/>
      <c r="F316" s="5"/>
      <c r="G316" s="5"/>
      <c r="H316" s="5"/>
      <c r="I316" s="4"/>
    </row>
    <row r="317" spans="1:9" ht="17.25" customHeight="1">
      <c r="A317" s="6"/>
      <c r="B317" s="4"/>
      <c r="C317" s="4"/>
      <c r="D317" s="5"/>
      <c r="E317" s="5"/>
      <c r="F317" s="5"/>
      <c r="G317" s="5"/>
      <c r="H317" s="5"/>
      <c r="I317" s="4"/>
    </row>
    <row r="318" spans="1:9" ht="17.25" customHeight="1">
      <c r="A318" s="6"/>
      <c r="B318" s="4"/>
      <c r="C318" s="4"/>
      <c r="D318" s="5"/>
      <c r="E318" s="5"/>
      <c r="F318" s="5"/>
      <c r="G318" s="5"/>
      <c r="H318" s="5"/>
      <c r="I318" s="4"/>
    </row>
    <row r="319" spans="1:9" ht="17.25" customHeight="1">
      <c r="A319" s="6"/>
      <c r="B319" s="4"/>
      <c r="C319" s="4"/>
      <c r="D319" s="5"/>
      <c r="E319" s="5"/>
      <c r="F319" s="5"/>
      <c r="G319" s="5"/>
      <c r="H319" s="5"/>
      <c r="I319" s="4"/>
    </row>
    <row r="320" spans="1:9" ht="17.25" customHeight="1">
      <c r="A320" s="6"/>
      <c r="B320" s="4"/>
      <c r="C320" s="4"/>
      <c r="D320" s="5"/>
      <c r="E320" s="5"/>
      <c r="F320" s="5"/>
      <c r="G320" s="5"/>
      <c r="H320" s="5"/>
      <c r="I320" s="4"/>
    </row>
    <row r="321" spans="1:9" ht="17.25" customHeight="1">
      <c r="A321" s="6"/>
      <c r="B321" s="4"/>
      <c r="C321" s="4"/>
      <c r="D321" s="5"/>
      <c r="E321" s="5"/>
      <c r="F321" s="5"/>
      <c r="G321" s="5"/>
      <c r="H321" s="5"/>
      <c r="I321" s="4"/>
    </row>
    <row r="322" spans="1:9" ht="17.25" customHeight="1">
      <c r="A322" s="6"/>
      <c r="B322" s="4"/>
      <c r="C322" s="4"/>
      <c r="D322" s="5"/>
      <c r="E322" s="5"/>
      <c r="F322" s="5"/>
      <c r="G322" s="5"/>
      <c r="H322" s="5"/>
      <c r="I322" s="4"/>
    </row>
    <row r="323" spans="1:9" ht="17.25" customHeight="1">
      <c r="A323" s="6"/>
      <c r="B323" s="4"/>
      <c r="C323" s="4"/>
      <c r="D323" s="5"/>
      <c r="E323" s="5"/>
      <c r="F323" s="5"/>
      <c r="G323" s="5"/>
      <c r="H323" s="5"/>
      <c r="I323" s="4"/>
    </row>
    <row r="324" spans="1:9" ht="17.25" customHeight="1">
      <c r="A324" s="6"/>
      <c r="B324" s="4"/>
      <c r="C324" s="4"/>
      <c r="D324" s="5"/>
      <c r="E324" s="5"/>
      <c r="F324" s="5"/>
      <c r="G324" s="5"/>
      <c r="H324" s="5"/>
      <c r="I324" s="4"/>
    </row>
    <row r="325" spans="1:9" ht="17.25" customHeight="1">
      <c r="A325" s="6"/>
      <c r="B325" s="4"/>
      <c r="C325" s="4"/>
      <c r="D325" s="5"/>
      <c r="E325" s="5"/>
      <c r="F325" s="5"/>
      <c r="G325" s="5"/>
      <c r="H325" s="5"/>
      <c r="I325" s="4"/>
    </row>
    <row r="326" spans="1:9" ht="17.25" customHeight="1">
      <c r="A326" s="6"/>
      <c r="B326" s="4"/>
      <c r="C326" s="4"/>
      <c r="D326" s="5"/>
      <c r="E326" s="5"/>
      <c r="F326" s="5"/>
      <c r="G326" s="5"/>
      <c r="H326" s="5"/>
      <c r="I326" s="4"/>
    </row>
    <row r="327" spans="1:9" ht="17.25" customHeight="1">
      <c r="A327" s="6"/>
      <c r="B327" s="4"/>
      <c r="C327" s="4"/>
      <c r="D327" s="5"/>
      <c r="E327" s="5"/>
      <c r="F327" s="5"/>
      <c r="G327" s="5"/>
      <c r="H327" s="5"/>
      <c r="I327" s="4"/>
    </row>
    <row r="328" spans="1:9" ht="17.25" customHeight="1">
      <c r="A328" s="6"/>
      <c r="B328" s="4"/>
      <c r="C328" s="4"/>
      <c r="D328" s="5"/>
      <c r="E328" s="5"/>
      <c r="F328" s="5"/>
      <c r="G328" s="5"/>
      <c r="H328" s="5"/>
      <c r="I328" s="4"/>
    </row>
    <row r="329" spans="1:9" ht="17.25" customHeight="1">
      <c r="A329" s="6"/>
      <c r="B329" s="4"/>
      <c r="C329" s="4"/>
      <c r="D329" s="5"/>
      <c r="E329" s="5"/>
      <c r="F329" s="5"/>
      <c r="G329" s="5"/>
      <c r="H329" s="5"/>
      <c r="I329" s="4"/>
    </row>
    <row r="330" spans="1:9" ht="17.25" customHeight="1">
      <c r="A330" s="6"/>
      <c r="B330" s="4"/>
      <c r="C330" s="4"/>
      <c r="D330" s="5"/>
      <c r="E330" s="5"/>
      <c r="F330" s="5"/>
      <c r="G330" s="5"/>
      <c r="H330" s="5"/>
      <c r="I330" s="4"/>
    </row>
    <row r="331" spans="1:9" ht="17.25" customHeight="1">
      <c r="A331" s="6"/>
      <c r="B331" s="4"/>
      <c r="C331" s="4"/>
      <c r="D331" s="5"/>
      <c r="E331" s="5"/>
      <c r="F331" s="5"/>
      <c r="G331" s="5"/>
      <c r="H331" s="5"/>
      <c r="I331" s="4"/>
    </row>
    <row r="332" spans="1:9" ht="17.25" customHeight="1">
      <c r="A332" s="6"/>
      <c r="B332" s="4"/>
      <c r="C332" s="4"/>
      <c r="D332" s="5"/>
      <c r="E332" s="5"/>
      <c r="F332" s="5"/>
      <c r="G332" s="5"/>
      <c r="H332" s="5"/>
      <c r="I332" s="4"/>
    </row>
    <row r="333" spans="1:9" ht="17.25" customHeight="1">
      <c r="A333" s="6"/>
      <c r="B333" s="4"/>
      <c r="C333" s="4"/>
      <c r="D333" s="5"/>
      <c r="E333" s="5"/>
      <c r="F333" s="5"/>
      <c r="G333" s="5"/>
      <c r="H333" s="5"/>
      <c r="I333" s="4"/>
    </row>
    <row r="334" spans="1:9" ht="17.25" customHeight="1">
      <c r="A334" s="6"/>
      <c r="B334" s="4"/>
      <c r="C334" s="4"/>
      <c r="D334" s="5"/>
      <c r="E334" s="5"/>
      <c r="F334" s="5"/>
      <c r="G334" s="5"/>
      <c r="H334" s="5"/>
      <c r="I334" s="4"/>
    </row>
    <row r="335" spans="1:9" ht="17.25" customHeight="1">
      <c r="A335" s="6"/>
      <c r="B335" s="4"/>
      <c r="C335" s="4"/>
      <c r="D335" s="5"/>
      <c r="E335" s="5"/>
      <c r="F335" s="5"/>
      <c r="G335" s="5"/>
      <c r="H335" s="5"/>
      <c r="I335" s="4"/>
    </row>
    <row r="336" spans="1:9" ht="17.25" customHeight="1">
      <c r="A336" s="6"/>
      <c r="B336" s="4"/>
      <c r="C336" s="4"/>
      <c r="D336" s="5"/>
      <c r="E336" s="5"/>
      <c r="F336" s="5"/>
      <c r="G336" s="5"/>
      <c r="H336" s="5"/>
      <c r="I336" s="4"/>
    </row>
    <row r="337" spans="1:9" ht="17.25" customHeight="1">
      <c r="A337" s="6"/>
      <c r="B337" s="4"/>
      <c r="C337" s="4"/>
      <c r="D337" s="5"/>
      <c r="E337" s="5"/>
      <c r="F337" s="5"/>
      <c r="G337" s="5"/>
      <c r="H337" s="5"/>
      <c r="I337" s="4"/>
    </row>
    <row r="338" spans="1:9" ht="17.25" customHeight="1">
      <c r="A338" s="6"/>
      <c r="B338" s="4"/>
      <c r="C338" s="4"/>
      <c r="D338" s="5"/>
      <c r="E338" s="5"/>
      <c r="F338" s="5"/>
      <c r="G338" s="5"/>
      <c r="H338" s="5"/>
      <c r="I338" s="4"/>
    </row>
    <row r="339" spans="1:9" ht="17.25" customHeight="1">
      <c r="A339" s="6"/>
      <c r="B339" s="4"/>
      <c r="C339" s="4"/>
      <c r="D339" s="5"/>
      <c r="E339" s="5"/>
      <c r="F339" s="5"/>
      <c r="G339" s="5"/>
      <c r="H339" s="5"/>
      <c r="I339" s="4"/>
    </row>
    <row r="340" spans="1:9" ht="17.25" customHeight="1">
      <c r="A340" s="6"/>
      <c r="B340" s="4"/>
      <c r="C340" s="4"/>
      <c r="D340" s="5"/>
      <c r="E340" s="5"/>
      <c r="F340" s="5"/>
      <c r="G340" s="5"/>
      <c r="H340" s="5"/>
      <c r="I340" s="4"/>
    </row>
    <row r="341" spans="1:9" ht="17.25" customHeight="1">
      <c r="A341" s="6"/>
      <c r="B341" s="4"/>
      <c r="C341" s="4"/>
      <c r="D341" s="5"/>
      <c r="E341" s="5"/>
      <c r="F341" s="5"/>
      <c r="G341" s="5"/>
      <c r="H341" s="5"/>
      <c r="I341" s="4"/>
    </row>
  </sheetData>
  <mergeCells count="125">
    <mergeCell ref="A156:I156"/>
    <mergeCell ref="A150:B150"/>
    <mergeCell ref="A151:I151"/>
    <mergeCell ref="A152:I152"/>
    <mergeCell ref="A153:I153"/>
    <mergeCell ref="A154:I154"/>
    <mergeCell ref="A155:I155"/>
    <mergeCell ref="A143:A149"/>
    <mergeCell ref="D143:D144"/>
    <mergeCell ref="E143:E144"/>
    <mergeCell ref="F143:F144"/>
    <mergeCell ref="G143:G144"/>
    <mergeCell ref="H143:H144"/>
    <mergeCell ref="A136:A142"/>
    <mergeCell ref="D136:D137"/>
    <mergeCell ref="E136:E137"/>
    <mergeCell ref="F136:F137"/>
    <mergeCell ref="G136:G137"/>
    <mergeCell ref="H136:H137"/>
    <mergeCell ref="D122:D123"/>
    <mergeCell ref="E122:E123"/>
    <mergeCell ref="F122:F123"/>
    <mergeCell ref="G122:G123"/>
    <mergeCell ref="H122:H123"/>
    <mergeCell ref="D129:D130"/>
    <mergeCell ref="E129:E130"/>
    <mergeCell ref="F129:F130"/>
    <mergeCell ref="G129:G130"/>
    <mergeCell ref="H129:H130"/>
    <mergeCell ref="H108:H109"/>
    <mergeCell ref="D115:D116"/>
    <mergeCell ref="E115:E116"/>
    <mergeCell ref="F115:F116"/>
    <mergeCell ref="G115:G116"/>
    <mergeCell ref="H115:H116"/>
    <mergeCell ref="D101:D102"/>
    <mergeCell ref="E101:E102"/>
    <mergeCell ref="F101:F102"/>
    <mergeCell ref="G101:G102"/>
    <mergeCell ref="H101:H102"/>
    <mergeCell ref="A108:A135"/>
    <mergeCell ref="D108:D109"/>
    <mergeCell ref="E108:E109"/>
    <mergeCell ref="F108:F109"/>
    <mergeCell ref="G108:G109"/>
    <mergeCell ref="H87:H88"/>
    <mergeCell ref="D94:D95"/>
    <mergeCell ref="E94:E95"/>
    <mergeCell ref="F94:F95"/>
    <mergeCell ref="G94:G95"/>
    <mergeCell ref="H94:H95"/>
    <mergeCell ref="D80:D81"/>
    <mergeCell ref="E80:E81"/>
    <mergeCell ref="F80:F81"/>
    <mergeCell ref="G80:G81"/>
    <mergeCell ref="H80:H81"/>
    <mergeCell ref="A87:A107"/>
    <mergeCell ref="D87:D88"/>
    <mergeCell ref="E87:E88"/>
    <mergeCell ref="F87:F88"/>
    <mergeCell ref="G87:G88"/>
    <mergeCell ref="D66:D67"/>
    <mergeCell ref="E66:E67"/>
    <mergeCell ref="F66:F67"/>
    <mergeCell ref="G66:G67"/>
    <mergeCell ref="H66:H67"/>
    <mergeCell ref="D73:D74"/>
    <mergeCell ref="E73:E74"/>
    <mergeCell ref="F73:F74"/>
    <mergeCell ref="G73:G74"/>
    <mergeCell ref="H73:H74"/>
    <mergeCell ref="H52:H53"/>
    <mergeCell ref="D59:D60"/>
    <mergeCell ref="E59:E60"/>
    <mergeCell ref="F59:F60"/>
    <mergeCell ref="G59:G60"/>
    <mergeCell ref="H59:H60"/>
    <mergeCell ref="A45:A86"/>
    <mergeCell ref="D45:D46"/>
    <mergeCell ref="E45:E46"/>
    <mergeCell ref="F45:F46"/>
    <mergeCell ref="G45:G46"/>
    <mergeCell ref="H45:H46"/>
    <mergeCell ref="D52:D53"/>
    <mergeCell ref="E52:E53"/>
    <mergeCell ref="F52:F53"/>
    <mergeCell ref="G52:G53"/>
    <mergeCell ref="D31:D32"/>
    <mergeCell ref="E31:E32"/>
    <mergeCell ref="F31:F32"/>
    <mergeCell ref="G31:G32"/>
    <mergeCell ref="H31:H32"/>
    <mergeCell ref="D38:D39"/>
    <mergeCell ref="E38:E39"/>
    <mergeCell ref="F38:F39"/>
    <mergeCell ref="G38:G39"/>
    <mergeCell ref="H38:H39"/>
    <mergeCell ref="D17:D18"/>
    <mergeCell ref="E17:E18"/>
    <mergeCell ref="F17:F18"/>
    <mergeCell ref="G17:G18"/>
    <mergeCell ref="H17:H18"/>
    <mergeCell ref="D24:D25"/>
    <mergeCell ref="E24:E25"/>
    <mergeCell ref="F24:F25"/>
    <mergeCell ref="G24:G25"/>
    <mergeCell ref="H24:H25"/>
    <mergeCell ref="F3:F4"/>
    <mergeCell ref="G3:G4"/>
    <mergeCell ref="H3:H4"/>
    <mergeCell ref="D10:D11"/>
    <mergeCell ref="E10:E11"/>
    <mergeCell ref="F10:F11"/>
    <mergeCell ref="G10:G11"/>
    <mergeCell ref="H10:H11"/>
    <mergeCell ref="I39:I40"/>
    <mergeCell ref="I129:I130"/>
    <mergeCell ref="A1:A2"/>
    <mergeCell ref="B1:B2"/>
    <mergeCell ref="C1:H1"/>
    <mergeCell ref="I1:I2"/>
    <mergeCell ref="C2:H2"/>
    <mergeCell ref="A3:A44"/>
    <mergeCell ref="D3:D4"/>
    <mergeCell ref="E3:E4"/>
  </mergeCells>
  <phoneticPr fontId="2" type="noConversion"/>
  <printOptions horizontalCentered="1"/>
  <pageMargins left="0.19685039370078741" right="0.23622047244094491" top="0.94488188976377963" bottom="0.55118110236220474" header="0.31496062992125984" footer="0.31496062992125984"/>
  <pageSetup paperSize="9" scale="75" fitToHeight="0" orientation="portrait" r:id="rId1"/>
  <headerFooter>
    <oddHeader>&amp;C&amp;"標楷體,粗體"&amp;18&amp;A</oddHeader>
    <oddFooter>&amp;C&amp;"標楷體,標準"第 &amp;P 頁，共 &amp;N 頁-106.03修正</oddFooter>
  </headerFooter>
  <rowBreaks count="3" manualBreakCount="3">
    <brk id="44" max="9" man="1"/>
    <brk id="86" max="9" man="1"/>
    <brk id="135"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臺南市南區影響中小規模工業用地區域因素評價基準明細表(徵收用)</vt:lpstr>
      <vt:lpstr>'臺南市南區影響中小規模工業用地區域因素評價基準明細表(徵收用)'!Print_Area</vt:lpstr>
      <vt:lpstr>'臺南市南區影響中小規模工業用地區域因素評價基準明細表(徵收用)'!Print_Titles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2017-06-26T02:02:26Z</dcterms:created>
  <dcterms:modified xsi:type="dcterms:W3CDTF">2017-06-26T02:03:06Z</dcterms:modified>
</cp:coreProperties>
</file>