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updateLinks="never" defaultThemeVersion="124226"/>
  <mc:AlternateContent xmlns:mc="http://schemas.openxmlformats.org/markup-compatibility/2006">
    <mc:Choice Requires="x15">
      <x15ac:absPath xmlns:x15ac="http://schemas.microsoft.com/office/spreadsheetml/2010/11/ac" url="C:\Users\AJ2902\Desktop\黑克松\參賽題目\空白書表\"/>
    </mc:Choice>
  </mc:AlternateContent>
  <xr:revisionPtr revIDLastSave="0" documentId="13_ncr:1_{680BA354-85D9-4B10-B234-90ADA1FEB8EB}" xr6:coauthVersionLast="47" xr6:coauthVersionMax="47" xr10:uidLastSave="{00000000-0000-0000-0000-000000000000}"/>
  <bookViews>
    <workbookView xWindow="14295" yWindow="0" windowWidth="14610" windowHeight="15585" tabRatio="791" firstSheet="10" activeTab="10" xr2:uid="{48697B82-2505-4758-8811-0DE317B73CAD}"/>
  </bookViews>
  <sheets>
    <sheet name="85表7個別因素清冊格式" sheetId="14" state="hidden" r:id="rId1"/>
    <sheet name="86個別因素清冊附表參考格式1" sheetId="53" state="hidden" r:id="rId2"/>
    <sheet name="88表1-1買賣實例1-土地" sheetId="15" state="hidden" r:id="rId3"/>
    <sheet name="89表1-1買賣實例1-土地 (1)" sheetId="33" state="hidden" r:id="rId4"/>
    <sheet name="90表1-1買賣實例1-土地 (2)" sheetId="34" state="hidden" r:id="rId5"/>
    <sheet name="91表1-1買賣實例1-土地 (3)" sheetId="35" state="hidden" r:id="rId6"/>
    <sheet name="92表1-2買賣實例2-建物" sheetId="16" state="hidden" r:id="rId7"/>
    <sheet name="93表1-3買賣實例3-建物" sheetId="17" state="hidden" r:id="rId8"/>
    <sheet name="94表2收益法 " sheetId="51" state="hidden" r:id="rId9"/>
    <sheet name="95表2收益附-成本法" sheetId="19" state="hidden" r:id="rId10"/>
    <sheet name="表5-1區域因素明細表(住)" sheetId="26" r:id="rId11"/>
    <sheet name="102表6宗地市價估計表格式" sheetId="23" state="hidden" r:id="rId12"/>
    <sheet name="103表9宗地市價評議表" sheetId="9" state="hidden" r:id="rId13"/>
    <sheet name="104表10宗地市價清冊" sheetId="24" state="hidden" r:id="rId14"/>
    <sheet name="105表11-1計算總表" sheetId="40" state="hidden" r:id="rId15"/>
    <sheet name="106表11-2計算表 " sheetId="41" state="hidden" r:id="rId16"/>
    <sheet name="107表11-2計算表(2)" sheetId="42" state="hidden" r:id="rId17"/>
    <sheet name="108TEST01H1計算表" sheetId="43" state="hidden" r:id="rId18"/>
    <sheet name="109TEST01H2計算表" sheetId="44" state="hidden" r:id="rId19"/>
    <sheet name="110表12市價變動幅度評議表" sheetId="11" state="hidden" r:id="rId20"/>
    <sheet name="111表13市價變動幅度表" sheetId="12" state="hidden" r:id="rId21"/>
    <sheet name="112表8-1公設平均(一般)" sheetId="22" state="hidden" r:id="rId22"/>
    <sheet name="113表8-2公設平均 (零建平均)" sheetId="36" state="hidden" r:id="rId23"/>
    <sheet name="114表14比準地地價估計表" sheetId="49" state="hidden" r:id="rId24"/>
  </sheets>
  <externalReferences>
    <externalReference r:id="rId25"/>
    <externalReference r:id="rId26"/>
  </externalReferences>
  <definedNames>
    <definedName name="_xlnm.Print_Area" localSheetId="11">'102表6宗地市價估計表格式'!$A$1:$Y$35</definedName>
    <definedName name="_xlnm.Print_Area" localSheetId="12">'103表9宗地市價評議表'!$A$1:$I$31</definedName>
    <definedName name="_xlnm.Print_Area" localSheetId="13">'104表10宗地市價清冊'!$A$1:$G$31</definedName>
    <definedName name="_xlnm.Print_Area" localSheetId="14">'105表11-1計算總表'!$A$1:$G$22</definedName>
    <definedName name="_xlnm.Print_Area" localSheetId="15">'106表11-2計算表 '!$A$1:$G$46</definedName>
    <definedName name="_xlnm.Print_Area" localSheetId="16">'107表11-2計算表(2)'!$A$1:$G$46</definedName>
    <definedName name="_xlnm.Print_Area" localSheetId="17">'108TEST01H1計算表'!$A$1:$G$46</definedName>
    <definedName name="_xlnm.Print_Area" localSheetId="18">'109TEST01H2計算表'!$A$1:$G$46</definedName>
    <definedName name="_xlnm.Print_Area" localSheetId="19">'110表12市價變動幅度評議表'!$A$1:$D$35</definedName>
    <definedName name="_xlnm.Print_Area" localSheetId="20">'111表13市價變動幅度表'!$A$1:$C$36</definedName>
    <definedName name="_xlnm.Print_Area" localSheetId="21">'112表8-1公設平均(一般)'!$A$1:$G$18</definedName>
    <definedName name="_xlnm.Print_Area" localSheetId="22">'113表8-2公設平均 (零建平均)'!$A$1:$H$11</definedName>
    <definedName name="_xlnm.Print_Area" localSheetId="23">'114表14比準地地價估計表'!$A$1:$K$11</definedName>
    <definedName name="_xlnm.Print_Area" localSheetId="0">'85表7個別因素清冊格式'!$A$1:$Q$36</definedName>
    <definedName name="_xlnm.Print_Area" localSheetId="1">'86個別因素清冊附表參考格式1'!$A$1:$K$33</definedName>
    <definedName name="_xlnm.Print_Area" localSheetId="2">'88表1-1買賣實例1-土地'!$A$1:$N$26</definedName>
    <definedName name="_xlnm.Print_Area" localSheetId="3">'89表1-1買賣實例1-土地 (1)'!$A$1:$N$26</definedName>
    <definedName name="_xlnm.Print_Area" localSheetId="4">'90表1-1買賣實例1-土地 (2)'!$A$1:$N$26</definedName>
    <definedName name="_xlnm.Print_Area" localSheetId="5">'91表1-1買賣實例1-土地 (3)'!$A$1:$N$26</definedName>
    <definedName name="_xlnm.Print_Area" localSheetId="6">'92表1-2買賣實例2-建物'!$A$1:$N$26</definedName>
    <definedName name="_xlnm.Print_Area" localSheetId="7">'93表1-3買賣實例3-建物'!$A$1:$N$26</definedName>
    <definedName name="_xlnm.Print_Area" localSheetId="8">'94表2收益法 '!$A$1:$V$33</definedName>
    <definedName name="_xlnm.Print_Area" localSheetId="9">'95表2收益附-成本法'!$A$1:$N$23</definedName>
    <definedName name="_xlnm.Print_Area" localSheetId="10">'表5-1區域因素明細表(住)'!$A$1:$M$45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3" i="44" l="1"/>
  <c r="B19" i="40"/>
  <c r="D43" i="44"/>
  <c r="A19" i="40"/>
  <c r="G43" i="43"/>
  <c r="B17" i="40"/>
  <c r="D43" i="43"/>
  <c r="A17" i="40"/>
  <c r="G43" i="42"/>
  <c r="B15" i="40"/>
  <c r="D43" i="42"/>
  <c r="A15" i="40"/>
  <c r="G43" i="41"/>
  <c r="D43" i="41"/>
  <c r="A13" i="40"/>
  <c r="J8" i="49"/>
  <c r="J9" i="49"/>
  <c r="J6" i="49"/>
  <c r="J5" i="49"/>
  <c r="AE20" i="23"/>
  <c r="AE21" i="23"/>
  <c r="AE22" i="23"/>
  <c r="AC22" i="23"/>
  <c r="AC21" i="23"/>
  <c r="AC20" i="23"/>
  <c r="AC19" i="23"/>
  <c r="G6" i="36"/>
  <c r="G7" i="36"/>
  <c r="G8" i="36"/>
  <c r="M16" i="17"/>
  <c r="G11" i="17"/>
  <c r="G12" i="17"/>
  <c r="G10" i="17"/>
  <c r="I10" i="17"/>
  <c r="L10" i="17"/>
  <c r="M5" i="16"/>
  <c r="G12" i="16"/>
  <c r="G11" i="16"/>
  <c r="G10" i="16"/>
  <c r="I10" i="16"/>
  <c r="L10" i="16"/>
  <c r="G12" i="19"/>
  <c r="G11" i="19"/>
  <c r="I10" i="19"/>
  <c r="G15" i="19"/>
  <c r="G10" i="19"/>
  <c r="R13" i="51"/>
  <c r="M5" i="17"/>
  <c r="M6" i="17"/>
  <c r="M5" i="19"/>
  <c r="H22" i="19"/>
  <c r="M16" i="15"/>
  <c r="H21" i="15"/>
  <c r="O24" i="51"/>
  <c r="O25" i="51"/>
  <c r="O26" i="51"/>
  <c r="F24" i="51"/>
  <c r="R24" i="51"/>
  <c r="F25" i="51"/>
  <c r="R25" i="51"/>
  <c r="F26" i="51"/>
  <c r="R26" i="51"/>
  <c r="B13" i="40"/>
  <c r="B2" i="9"/>
  <c r="B2" i="24"/>
  <c r="O1" i="23"/>
  <c r="E5" i="40"/>
  <c r="B5" i="40"/>
  <c r="B2" i="40"/>
  <c r="E2" i="40"/>
  <c r="E6" i="40"/>
  <c r="E7" i="40"/>
  <c r="E8" i="40"/>
  <c r="B7" i="40"/>
  <c r="C41" i="41"/>
  <c r="F41" i="41"/>
  <c r="C42" i="41"/>
  <c r="F42" i="41"/>
  <c r="C41" i="42"/>
  <c r="F41" i="42"/>
  <c r="C42" i="42"/>
  <c r="F42" i="42"/>
  <c r="C41" i="43"/>
  <c r="F41" i="43"/>
  <c r="C42" i="43"/>
  <c r="F42" i="43"/>
  <c r="C41" i="44"/>
  <c r="F41" i="44"/>
  <c r="C42" i="44"/>
  <c r="F42" i="44"/>
  <c r="D16" i="22"/>
  <c r="F16" i="22"/>
  <c r="F7" i="24"/>
  <c r="M16" i="35"/>
  <c r="M20" i="35"/>
  <c r="G12" i="35"/>
  <c r="G11" i="35"/>
  <c r="G10" i="35"/>
  <c r="I10" i="35"/>
  <c r="L10" i="35"/>
  <c r="M5" i="35"/>
  <c r="D3" i="35"/>
  <c r="M16" i="34"/>
  <c r="H21" i="34"/>
  <c r="M20" i="34"/>
  <c r="G12" i="34"/>
  <c r="G11" i="34"/>
  <c r="G10" i="34"/>
  <c r="I10" i="34"/>
  <c r="L10" i="34"/>
  <c r="M5" i="34"/>
  <c r="D3" i="34"/>
  <c r="M16" i="33"/>
  <c r="M20" i="33"/>
  <c r="H21" i="33"/>
  <c r="G12" i="33"/>
  <c r="G11" i="33"/>
  <c r="I10" i="33"/>
  <c r="L10" i="33"/>
  <c r="G10" i="33"/>
  <c r="M5" i="33"/>
  <c r="M6" i="33"/>
  <c r="D3" i="33"/>
  <c r="A7" i="24"/>
  <c r="A6" i="24"/>
  <c r="A6" i="9"/>
  <c r="V26" i="23"/>
  <c r="F26" i="23"/>
  <c r="B3" i="12"/>
  <c r="B7" i="12"/>
  <c r="B8" i="12"/>
  <c r="B9" i="12"/>
  <c r="B12" i="12"/>
  <c r="B13" i="12"/>
  <c r="B14" i="12"/>
  <c r="A3" i="24"/>
  <c r="E7" i="24"/>
  <c r="N26" i="23"/>
  <c r="R26" i="23"/>
  <c r="A7" i="9"/>
  <c r="F7" i="9"/>
  <c r="J26" i="23"/>
  <c r="I2" i="23"/>
  <c r="W1" i="23"/>
  <c r="Y2" i="23"/>
  <c r="Y1" i="23"/>
  <c r="E2" i="23"/>
  <c r="M2" i="23"/>
  <c r="Q2" i="23"/>
  <c r="U2" i="23"/>
  <c r="K27" i="23"/>
  <c r="O27" i="23"/>
  <c r="S27" i="23"/>
  <c r="G14" i="19"/>
  <c r="J11" i="19"/>
  <c r="J15" i="19"/>
  <c r="F18" i="19"/>
  <c r="F16" i="17"/>
  <c r="H21" i="17"/>
  <c r="H22" i="17"/>
  <c r="F16" i="16"/>
  <c r="M16" i="16"/>
  <c r="D3" i="15"/>
  <c r="M5" i="15"/>
  <c r="G10" i="15"/>
  <c r="G11" i="15"/>
  <c r="G12" i="15"/>
  <c r="I10" i="15"/>
  <c r="L10" i="15"/>
  <c r="E8" i="14"/>
  <c r="M20" i="15"/>
  <c r="H21" i="35"/>
  <c r="M6" i="19"/>
  <c r="M7" i="19"/>
  <c r="H21" i="16"/>
  <c r="G9" i="36"/>
  <c r="M7" i="17"/>
  <c r="M8" i="17"/>
  <c r="M10" i="17"/>
  <c r="M9" i="17"/>
  <c r="F7" i="49"/>
  <c r="J7" i="49" s="1"/>
  <c r="C5" i="23" s="1"/>
  <c r="M9" i="33"/>
  <c r="M8" i="33"/>
  <c r="M7" i="33"/>
  <c r="M11" i="33"/>
  <c r="M10" i="33"/>
  <c r="E13" i="40"/>
  <c r="F13" i="40"/>
  <c r="L12" i="19"/>
  <c r="J13" i="19"/>
  <c r="D13" i="40"/>
  <c r="F8" i="40"/>
  <c r="C19" i="40"/>
  <c r="F7" i="40"/>
  <c r="C17" i="40"/>
  <c r="D17" i="40"/>
  <c r="U24" i="51"/>
  <c r="F4" i="51"/>
  <c r="E17" i="40"/>
  <c r="F17" i="40"/>
  <c r="F5" i="40"/>
  <c r="C13" i="40"/>
  <c r="B9" i="40"/>
  <c r="C9" i="40"/>
  <c r="C5" i="40"/>
  <c r="F6" i="40"/>
  <c r="C15" i="40"/>
  <c r="M6" i="16"/>
  <c r="M9" i="16"/>
  <c r="M6" i="15"/>
  <c r="M6" i="35"/>
  <c r="M8" i="35"/>
  <c r="M6" i="34"/>
  <c r="M8" i="15"/>
  <c r="H22" i="16"/>
  <c r="E9" i="40"/>
  <c r="M11" i="17"/>
  <c r="M12" i="17"/>
  <c r="M7" i="34"/>
  <c r="M10" i="34"/>
  <c r="M9" i="34"/>
  <c r="M7" i="16"/>
  <c r="M11" i="16"/>
  <c r="M10" i="19"/>
  <c r="M8" i="19"/>
  <c r="M9" i="19"/>
  <c r="M7" i="15"/>
  <c r="M9" i="15"/>
  <c r="M7" i="35"/>
  <c r="M12" i="33"/>
  <c r="G13" i="40"/>
  <c r="E20" i="40"/>
  <c r="M9" i="35"/>
  <c r="M10" i="35"/>
  <c r="F6" i="51"/>
  <c r="F7" i="51"/>
  <c r="F5" i="51"/>
  <c r="R5" i="51"/>
  <c r="C7" i="40"/>
  <c r="M8" i="34"/>
  <c r="F9" i="40"/>
  <c r="M8" i="16"/>
  <c r="M10" i="16"/>
  <c r="M12" i="16"/>
  <c r="F20" i="17"/>
  <c r="M13" i="17"/>
  <c r="M17" i="17"/>
  <c r="M19" i="17"/>
  <c r="M20" i="17"/>
  <c r="F20" i="33"/>
  <c r="M13" i="33"/>
  <c r="M11" i="35"/>
  <c r="M12" i="35"/>
  <c r="M11" i="15"/>
  <c r="M10" i="15"/>
  <c r="M12" i="15"/>
  <c r="M11" i="19"/>
  <c r="M11" i="34"/>
  <c r="M12" i="34"/>
  <c r="F8" i="51"/>
  <c r="F20" i="34"/>
  <c r="M13" i="34"/>
  <c r="F20" i="15"/>
  <c r="M13" i="15"/>
  <c r="F20" i="35"/>
  <c r="M13" i="35"/>
  <c r="F12" i="51"/>
  <c r="K9" i="51"/>
  <c r="M12" i="19"/>
  <c r="M13" i="19"/>
  <c r="M14" i="19"/>
  <c r="M16" i="19"/>
  <c r="F20" i="16"/>
  <c r="M13" i="16"/>
  <c r="M17" i="16"/>
  <c r="M20" i="16"/>
  <c r="P3" i="51"/>
  <c r="R11" i="51"/>
  <c r="H20" i="19"/>
  <c r="M18" i="19"/>
  <c r="M20" i="19"/>
  <c r="T3" i="51"/>
  <c r="F17" i="51"/>
  <c r="F13" i="51"/>
  <c r="K14" i="51"/>
  <c r="F15" i="51"/>
  <c r="R18" i="51"/>
  <c r="F20" i="51"/>
  <c r="F21" i="51"/>
  <c r="F22" i="51"/>
  <c r="R27" i="23" l="1"/>
  <c r="R28" i="23" s="1"/>
  <c r="G13" i="9" s="1"/>
  <c r="F13" i="24" s="1"/>
  <c r="V27" i="23"/>
  <c r="V28" i="23" s="1"/>
  <c r="G14" i="9" s="1"/>
  <c r="F14" i="24" s="1"/>
  <c r="F27" i="23"/>
  <c r="G15" i="9"/>
  <c r="F15" i="24" s="1"/>
  <c r="J27" i="23"/>
  <c r="J28" i="23" s="1"/>
  <c r="G7" i="9" s="1"/>
  <c r="N27" i="23"/>
  <c r="N28" i="23" s="1"/>
  <c r="G12" i="9" s="1"/>
  <c r="F12" i="24" s="1"/>
  <c r="AE19" i="23" l="1"/>
  <c r="F28" i="23"/>
  <c r="G6" i="9" s="1"/>
  <c r="F6"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moi1396</author>
  </authors>
  <commentList>
    <comment ref="E3" authorId="0" shapeId="0" xr:uid="{29430CD2-DC63-4D48-8770-2E060112E4FD}">
      <text>
        <r>
          <rPr>
            <b/>
            <sz val="14"/>
            <color indexed="81"/>
            <rFont val="新細明體"/>
            <family val="1"/>
            <charset val="136"/>
          </rPr>
          <t xml:space="preserve">31、31-1、31-2、31-3地號4筆土地行政條件相同、屬單一所有權人且相鄰者用地，合併為一個評價單元
</t>
        </r>
        <r>
          <rPr>
            <sz val="14"/>
            <color indexed="81"/>
            <rFont val="新細明體"/>
            <family val="1"/>
            <charset val="136"/>
          </rPr>
          <t xml:space="preserve">
與32地號雖為同一所有權人且相鄰，但行政條件不同，不合併為一評價單元</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洪郁惠</author>
  </authors>
  <commentList>
    <comment ref="B3" authorId="0" shapeId="0" xr:uid="{1E0965F6-0C85-4D0C-8DC3-56525DBA6FDC}">
      <text>
        <r>
          <rPr>
            <b/>
            <sz val="9"/>
            <color indexed="81"/>
            <rFont val="細明體"/>
            <family val="3"/>
            <charset val="136"/>
          </rPr>
          <t>與36地號不相鄰</t>
        </r>
      </text>
    </comment>
    <comment ref="F3" authorId="0" shapeId="0" xr:uid="{4A9EE040-47E5-4CBE-9CBC-12DDA5858CEC}">
      <text>
        <r>
          <rPr>
            <b/>
            <sz val="9"/>
            <color indexed="81"/>
            <rFont val="細明體"/>
            <family val="3"/>
            <charset val="136"/>
          </rPr>
          <t>與37地號所有權人相同但各別持分不同</t>
        </r>
        <r>
          <rPr>
            <sz val="9"/>
            <color indexed="81"/>
            <rFont val="Tahoma"/>
            <family val="2"/>
          </rPr>
          <t xml:space="preserve">
</t>
        </r>
      </text>
    </comment>
    <comment ref="G3" authorId="0" shapeId="0" xr:uid="{2E398BFF-8830-4084-8F46-BD9692343E2D}">
      <text>
        <r>
          <rPr>
            <b/>
            <sz val="9"/>
            <color indexed="81"/>
            <rFont val="細明體"/>
            <family val="3"/>
            <charset val="136"/>
          </rPr>
          <t>與33地號所有權人相同但各別持分不同</t>
        </r>
        <r>
          <rPr>
            <sz val="9"/>
            <color indexed="81"/>
            <rFont val="Tahoma"/>
            <family val="2"/>
          </rPr>
          <t xml:space="preserve">
</t>
        </r>
      </text>
    </comment>
    <comment ref="B9" authorId="0" shapeId="0" xr:uid="{13BA3D04-1894-4CEA-8C26-C36640D0D3A8}">
      <text>
        <r>
          <rPr>
            <b/>
            <sz val="9"/>
            <color indexed="81"/>
            <rFont val="細明體"/>
            <family val="3"/>
            <charset val="136"/>
          </rPr>
          <t>如持分合計不等於1，需提醒</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user</author>
    <author>koikue</author>
    <author>moi1396</author>
  </authors>
  <commentList>
    <comment ref="H5" authorId="0" shapeId="0" xr:uid="{0E1369F7-236C-460B-AC70-4A607F11ABF2}">
      <text>
        <r>
          <rPr>
            <sz val="12"/>
            <color indexed="81"/>
            <rFont val="新細明體"/>
            <family val="1"/>
            <charset val="136"/>
          </rPr>
          <t>0素地
1木造
2鐵造
3磚造
4加強磚造
5鋼筋混凝土加強磚造
6鋼筋混凝土
7鋼骨鋼筋混凝土
8鋼骨</t>
        </r>
      </text>
    </comment>
    <comment ref="E6" authorId="1" shapeId="0" xr:uid="{83780F3D-6C59-44BA-9AEC-0F3675E72D81}">
      <text>
        <r>
          <rPr>
            <sz val="12"/>
            <color indexed="81"/>
            <rFont val="新細明體"/>
            <family val="1"/>
            <charset val="136"/>
          </rPr>
          <t>應含附屬建物及共有部分面積</t>
        </r>
      </text>
    </comment>
    <comment ref="D8" authorId="0" shapeId="0" xr:uid="{D7560F51-FA17-4B58-AA2F-465E1B0996F8}">
      <text>
        <r>
          <rPr>
            <sz val="12"/>
            <color indexed="81"/>
            <rFont val="新細明體"/>
            <family val="1"/>
            <charset val="136"/>
          </rPr>
          <t>全棟移轉，請填</t>
        </r>
        <r>
          <rPr>
            <b/>
            <sz val="18"/>
            <color indexed="81"/>
            <rFont val="新細明體"/>
            <family val="1"/>
            <charset val="136"/>
          </rPr>
          <t>全</t>
        </r>
      </text>
    </comment>
    <comment ref="J16" authorId="2" shapeId="0" xr:uid="{146249BC-E3C4-4B89-9C3E-E360EAD51D33}">
      <text>
        <r>
          <rPr>
            <sz val="12"/>
            <color indexed="81"/>
            <rFont val="新細明體"/>
            <family val="1"/>
            <charset val="136"/>
          </rPr>
          <t>判定調查之買賣實例是否有特殊情況，為特殊情況者應依第7條及第8條修正</t>
        </r>
      </text>
    </comment>
    <comment ref="M16" authorId="3" shapeId="0" xr:uid="{29675A75-B604-4B03-9FDC-122CCAF31CDC}">
      <text>
        <r>
          <rPr>
            <sz val="12"/>
            <color indexed="81"/>
            <rFont val="新細明體"/>
            <family val="1"/>
            <charset val="136"/>
          </rPr>
          <t>計算公式請自行依備註欄之第7條、第8條修正數調整</t>
        </r>
      </text>
    </comment>
    <comment ref="J20" authorId="2" shapeId="0" xr:uid="{E7C9E8BD-A01C-4C3D-A84F-90D2535F8DFF}">
      <text>
        <r>
          <rPr>
            <b/>
            <sz val="12"/>
            <color indexed="81"/>
            <rFont val="新細明體"/>
            <family val="1"/>
            <charset val="136"/>
          </rPr>
          <t>第13條第2款:土地正常買賣單價=正常買賣總價格/土地面積</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user</author>
    <author>koikue</author>
    <author>moi1396</author>
  </authors>
  <commentList>
    <comment ref="H5" authorId="0" shapeId="0" xr:uid="{C1D1C41A-C1E3-4841-AE90-5B64E740EBD0}">
      <text>
        <r>
          <rPr>
            <sz val="12"/>
            <color indexed="81"/>
            <rFont val="新細明體"/>
            <family val="1"/>
            <charset val="136"/>
          </rPr>
          <t>0素地
1木造
2鐵造
3磚造
4加強磚造
5鋼筋混凝土加強磚造
6鋼筋混凝土
7鋼骨鋼筋混凝土
8鋼骨</t>
        </r>
      </text>
    </comment>
    <comment ref="E6" authorId="1" shapeId="0" xr:uid="{07437940-07E4-4B1C-80DE-EC56B37BB4E4}">
      <text>
        <r>
          <rPr>
            <sz val="12"/>
            <color indexed="81"/>
            <rFont val="新細明體"/>
            <family val="1"/>
            <charset val="136"/>
          </rPr>
          <t>應含附屬建物及共有部分面積</t>
        </r>
      </text>
    </comment>
    <comment ref="D8" authorId="0" shapeId="0" xr:uid="{53B8E884-51A1-42FE-8B65-DEDE18562239}">
      <text>
        <r>
          <rPr>
            <sz val="12"/>
            <color indexed="81"/>
            <rFont val="新細明體"/>
            <family val="1"/>
            <charset val="136"/>
          </rPr>
          <t>全棟移轉
請填</t>
        </r>
        <r>
          <rPr>
            <b/>
            <sz val="18"/>
            <color indexed="81"/>
            <rFont val="新細明體"/>
            <family val="1"/>
            <charset val="136"/>
          </rPr>
          <t>全</t>
        </r>
      </text>
    </comment>
    <comment ref="J16" authorId="2" shapeId="0" xr:uid="{49BDA4A4-FDB5-4744-B6DB-E5DBDF9F873A}">
      <text>
        <r>
          <rPr>
            <sz val="12"/>
            <color indexed="81"/>
            <rFont val="新細明體"/>
            <family val="1"/>
            <charset val="136"/>
          </rPr>
          <t>判定調查之買賣實例是否有特殊情況，為特殊情況者應依第7條及第8條修正</t>
        </r>
      </text>
    </comment>
    <comment ref="M16" authorId="3" shapeId="0" xr:uid="{44A81187-8D2C-4BF6-BDB8-962AEB2BD872}">
      <text>
        <r>
          <rPr>
            <sz val="12"/>
            <color indexed="81"/>
            <rFont val="新細明體"/>
            <family val="1"/>
            <charset val="136"/>
          </rPr>
          <t>計算公式請自行依備註欄之第7條、第8條修正數調整</t>
        </r>
      </text>
    </comment>
    <comment ref="J20" authorId="2" shapeId="0" xr:uid="{7F928369-8E59-4BE4-9FDD-CF4D066C08FA}">
      <text>
        <r>
          <rPr>
            <b/>
            <sz val="12"/>
            <color indexed="81"/>
            <rFont val="新細明體"/>
            <family val="1"/>
            <charset val="136"/>
          </rPr>
          <t>第13條第2款:土地正常買賣單價=正常買賣總價格/土地面積</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user</author>
    <author>koikue</author>
    <author>moi1396</author>
  </authors>
  <commentList>
    <comment ref="H5" authorId="0" shapeId="0" xr:uid="{BA050BE6-31B9-4B1A-B258-A36359D6A736}">
      <text>
        <r>
          <rPr>
            <sz val="12"/>
            <color indexed="81"/>
            <rFont val="新細明體"/>
            <family val="1"/>
            <charset val="136"/>
          </rPr>
          <t>0素地
1木造
2鐵造
3磚造
4加強磚造
5鋼筋混凝土加強磚造
6鋼筋混凝土
7鋼骨鋼筋混凝土
8鋼骨</t>
        </r>
      </text>
    </comment>
    <comment ref="E6" authorId="1" shapeId="0" xr:uid="{E5B23AC3-5B1D-41D0-AA6C-10C656244959}">
      <text>
        <r>
          <rPr>
            <sz val="12"/>
            <color indexed="81"/>
            <rFont val="新細明體"/>
            <family val="1"/>
            <charset val="136"/>
          </rPr>
          <t>應含附屬建物及共有部分面積</t>
        </r>
      </text>
    </comment>
    <comment ref="D8" authorId="0" shapeId="0" xr:uid="{2D3710A6-86D3-4771-B27D-A7388426BB72}">
      <text>
        <r>
          <rPr>
            <sz val="12"/>
            <color indexed="81"/>
            <rFont val="新細明體"/>
            <family val="1"/>
            <charset val="136"/>
          </rPr>
          <t>全棟移轉
請填</t>
        </r>
        <r>
          <rPr>
            <b/>
            <sz val="18"/>
            <color indexed="81"/>
            <rFont val="新細明體"/>
            <family val="1"/>
            <charset val="136"/>
          </rPr>
          <t>全</t>
        </r>
      </text>
    </comment>
    <comment ref="J16" authorId="2" shapeId="0" xr:uid="{7E9CD491-B85B-46E7-93BB-D6C69C3892EE}">
      <text>
        <r>
          <rPr>
            <sz val="12"/>
            <color indexed="81"/>
            <rFont val="新細明體"/>
            <family val="1"/>
            <charset val="136"/>
          </rPr>
          <t>判定調查之買賣實例是否有特殊情況，為特殊情況者應依第7條及第8條修正</t>
        </r>
      </text>
    </comment>
    <comment ref="M16" authorId="3" shapeId="0" xr:uid="{FE916F1A-1844-4798-B4A0-6B01D85931F4}">
      <text>
        <r>
          <rPr>
            <sz val="12"/>
            <color indexed="81"/>
            <rFont val="新細明體"/>
            <family val="1"/>
            <charset val="136"/>
          </rPr>
          <t>計算公式請自行依備註欄之第7條、第8條修正數調整</t>
        </r>
      </text>
    </comment>
    <comment ref="J20" authorId="2" shapeId="0" xr:uid="{A00D14C9-2593-471B-8290-9BAD6C409ED0}">
      <text>
        <r>
          <rPr>
            <b/>
            <sz val="12"/>
            <color indexed="81"/>
            <rFont val="新細明體"/>
            <family val="1"/>
            <charset val="136"/>
          </rPr>
          <t>第13條第2款:土地正常買賣單價=正常買賣總價格/土地面積</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user</author>
    <author>koikue</author>
    <author>moi1396</author>
  </authors>
  <commentList>
    <comment ref="H5" authorId="0" shapeId="0" xr:uid="{CE5D1073-4FED-41CA-B117-9CBBB0EC6A4A}">
      <text>
        <r>
          <rPr>
            <sz val="12"/>
            <color indexed="81"/>
            <rFont val="新細明體"/>
            <family val="1"/>
            <charset val="136"/>
          </rPr>
          <t>0素地
1木造
2鐵造
3磚造
4加強磚造
5鋼筋混凝土加強磚造
6鋼筋混凝土
7鋼骨鋼筋混凝土
8鋼骨</t>
        </r>
      </text>
    </comment>
    <comment ref="E6" authorId="1" shapeId="0" xr:uid="{B104A9DC-A430-4BD9-8C51-EC2B9EDEBCD9}">
      <text>
        <r>
          <rPr>
            <sz val="12"/>
            <color indexed="81"/>
            <rFont val="新細明體"/>
            <family val="1"/>
            <charset val="136"/>
          </rPr>
          <t>應含附屬建物及共有部分面積</t>
        </r>
      </text>
    </comment>
    <comment ref="D8" authorId="0" shapeId="0" xr:uid="{4CFBAE99-8825-4224-928A-EDA3F0F1D9BC}">
      <text>
        <r>
          <rPr>
            <sz val="12"/>
            <color indexed="81"/>
            <rFont val="新細明體"/>
            <family val="1"/>
            <charset val="136"/>
          </rPr>
          <t>全棟移轉
請填</t>
        </r>
        <r>
          <rPr>
            <b/>
            <sz val="18"/>
            <color indexed="81"/>
            <rFont val="新細明體"/>
            <family val="1"/>
            <charset val="136"/>
          </rPr>
          <t>全</t>
        </r>
      </text>
    </comment>
    <comment ref="J16" authorId="2" shapeId="0" xr:uid="{516AD708-C55D-4152-AF9C-E48FF2C6B843}">
      <text>
        <r>
          <rPr>
            <sz val="12"/>
            <color indexed="81"/>
            <rFont val="新細明體"/>
            <family val="1"/>
            <charset val="136"/>
          </rPr>
          <t>判定調查之買賣實例是否有特殊情況，為特殊情況者應依第7條及第8條修正</t>
        </r>
      </text>
    </comment>
    <comment ref="M16" authorId="3" shapeId="0" xr:uid="{73467843-1F68-4DC8-AD07-1E40B0AA51F7}">
      <text>
        <r>
          <rPr>
            <sz val="12"/>
            <color indexed="81"/>
            <rFont val="新細明體"/>
            <family val="1"/>
            <charset val="136"/>
          </rPr>
          <t>計算公式請自行依備註欄之第7條、第8條修正數調整</t>
        </r>
      </text>
    </comment>
    <comment ref="J20" authorId="2" shapeId="0" xr:uid="{E05FA3D3-6750-4BAE-89B5-134DA79DB518}">
      <text>
        <r>
          <rPr>
            <b/>
            <sz val="12"/>
            <color indexed="81"/>
            <rFont val="新細明體"/>
            <family val="1"/>
            <charset val="136"/>
          </rPr>
          <t>第13條第2款:土地正常買賣單價=正常買賣總價格/土地面積</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user</author>
    <author>moi1396</author>
    <author>koikue</author>
    <author>User</author>
  </authors>
  <commentList>
    <comment ref="H5" authorId="0" shapeId="0" xr:uid="{D5B69672-BEE9-46DB-AC97-1F7746701654}">
      <text>
        <r>
          <rPr>
            <sz val="12"/>
            <color indexed="81"/>
            <rFont val="新細明體"/>
            <family val="1"/>
            <charset val="136"/>
          </rPr>
          <t>0素地
1木造
2鐵造
3磚造
4加強磚造
5鋼筋混凝土加強磚造
6鋼筋混凝土
7鋼骨鋼筋混凝土
8鋼骨</t>
        </r>
      </text>
    </comment>
    <comment ref="E6" authorId="1" shapeId="0" xr:uid="{C995088F-78D1-4F97-84EB-20CB7B32FEE9}">
      <text>
        <r>
          <rPr>
            <sz val="12"/>
            <color indexed="81"/>
            <rFont val="新細明體"/>
            <family val="1"/>
            <charset val="136"/>
          </rPr>
          <t>應含附屬建物及共有部分面積</t>
        </r>
      </text>
    </comment>
    <comment ref="D8" authorId="0" shapeId="0" xr:uid="{11A2B5B6-6854-41CD-A2C3-CAA8B380255B}">
      <text>
        <r>
          <rPr>
            <sz val="12"/>
            <color indexed="81"/>
            <rFont val="新細明體"/>
            <family val="1"/>
            <charset val="136"/>
          </rPr>
          <t>全棟移轉
請填</t>
        </r>
        <r>
          <rPr>
            <b/>
            <sz val="18"/>
            <color indexed="81"/>
            <rFont val="新細明體"/>
            <family val="1"/>
            <charset val="136"/>
          </rPr>
          <t>全</t>
        </r>
      </text>
    </comment>
    <comment ref="D16" authorId="2" shapeId="0" xr:uid="{04D8A2C6-FA91-4A9F-8A0E-EE6E7FBCBBC5}">
      <text>
        <r>
          <rPr>
            <b/>
            <sz val="10"/>
            <color indexed="81"/>
            <rFont val="新細明體"/>
            <family val="1"/>
            <charset val="136"/>
          </rPr>
          <t>自行輸入，值顯示至小數點第2位</t>
        </r>
      </text>
    </comment>
    <comment ref="J16" authorId="3" shapeId="0" xr:uid="{B93724E1-CEE3-43F0-ACBC-5B4D0CE85BD0}">
      <text>
        <r>
          <rPr>
            <b/>
            <sz val="9"/>
            <color indexed="81"/>
            <rFont val="新細明體"/>
            <family val="1"/>
            <charset val="136"/>
          </rPr>
          <t>判定調查之買賣實例是否有特殊情況，為特殊情況者應依第7條及第8條修正。</t>
        </r>
      </text>
    </comment>
    <comment ref="M16" authorId="2" shapeId="0" xr:uid="{6DD17C59-1AA9-44E5-ABA1-8D98C7EC76B6}">
      <text>
        <r>
          <rPr>
            <sz val="12"/>
            <color indexed="81"/>
            <rFont val="新細明體"/>
            <family val="1"/>
            <charset val="136"/>
          </rPr>
          <t>計算公式請自行依備註欄之第7條、第8條修正數調整</t>
        </r>
      </text>
    </comment>
    <comment ref="M17" authorId="4" shapeId="0" xr:uid="{043F1B09-039A-4553-B18C-191653954C53}">
      <text>
        <r>
          <rPr>
            <sz val="11"/>
            <color indexed="81"/>
            <rFont val="新細明體"/>
            <family val="1"/>
            <charset val="136"/>
          </rPr>
          <t>實例建物成本價格*實例計算面積(扣除車位)</t>
        </r>
      </text>
    </comment>
    <comment ref="J20" authorId="3" shapeId="0" xr:uid="{E5053215-3C8A-428F-8B31-EFFDBEE86A44}">
      <text>
        <r>
          <rPr>
            <b/>
            <sz val="12"/>
            <color indexed="81"/>
            <rFont val="新細明體"/>
            <family val="1"/>
            <charset val="136"/>
          </rPr>
          <t>第13條第4款:土地正常買賣單價=(買賣實例房地價格-買賣實例建物成本價格)/實例土地面積</t>
        </r>
        <r>
          <rPr>
            <sz val="12"/>
            <color indexed="81"/>
            <rFont val="新細明體"/>
            <family val="1"/>
            <charset val="136"/>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USER</author>
    <author>user</author>
    <author>moi1396</author>
    <author>koikue</author>
    <author>User</author>
  </authors>
  <commentList>
    <comment ref="H5" authorId="0" shapeId="0" xr:uid="{0296DEDD-E551-48E6-9465-381CF6E14E29}">
      <text>
        <r>
          <rPr>
            <sz val="12"/>
            <color indexed="81"/>
            <rFont val="新細明體"/>
            <family val="1"/>
            <charset val="136"/>
          </rPr>
          <t>0素地
1木造
2鐵造
3磚造
4加強磚造
5鋼筋混凝土加強磚造
6鋼筋混凝土
7鋼骨鋼筋混凝土
8鋼骨</t>
        </r>
      </text>
    </comment>
    <comment ref="E6" authorId="1" shapeId="0" xr:uid="{655C080A-D6D3-4D7B-BF42-10BB1DDBF52A}">
      <text>
        <r>
          <rPr>
            <sz val="12"/>
            <color indexed="81"/>
            <rFont val="新細明體"/>
            <family val="1"/>
            <charset val="136"/>
          </rPr>
          <t>應含附屬建物及共有部分面積</t>
        </r>
      </text>
    </comment>
    <comment ref="D8" authorId="0" shapeId="0" xr:uid="{73A2BB65-315C-49F9-B136-F6E1DE03F861}">
      <text>
        <r>
          <rPr>
            <sz val="12"/>
            <color indexed="81"/>
            <rFont val="新細明體"/>
            <family val="1"/>
            <charset val="136"/>
          </rPr>
          <t>全棟移轉
請填</t>
        </r>
        <r>
          <rPr>
            <b/>
            <sz val="18"/>
            <color indexed="81"/>
            <rFont val="新細明體"/>
            <family val="1"/>
            <charset val="136"/>
          </rPr>
          <t>全</t>
        </r>
      </text>
    </comment>
    <comment ref="D16" authorId="2" shapeId="0" xr:uid="{160D7D63-4172-482E-AD17-A7F93D226CBA}">
      <text>
        <r>
          <rPr>
            <b/>
            <sz val="9"/>
            <color indexed="81"/>
            <rFont val="新細明體"/>
            <family val="1"/>
            <charset val="136"/>
          </rPr>
          <t>自行輸入，值顯示至小數點第2位</t>
        </r>
      </text>
    </comment>
    <comment ref="J16" authorId="3" shapeId="0" xr:uid="{213A6DB9-1F79-4C4A-A905-C250B10DE7FA}">
      <text>
        <r>
          <rPr>
            <sz val="9"/>
            <color indexed="81"/>
            <rFont val="新細明體"/>
            <family val="1"/>
            <charset val="136"/>
          </rPr>
          <t>判定調查之買賣實例是否有特殊情況，為特殊情況者應依第7條及第8條修正</t>
        </r>
      </text>
    </comment>
    <comment ref="M16" authorId="2" shapeId="0" xr:uid="{467D1530-99B5-4A8F-B3CD-AA97CB875473}">
      <text>
        <r>
          <rPr>
            <sz val="9"/>
            <color indexed="81"/>
            <rFont val="新細明體"/>
            <family val="1"/>
            <charset val="136"/>
          </rPr>
          <t xml:space="preserve">計算公式請自行依備註欄之第7條、第8條修正數調整
</t>
        </r>
      </text>
    </comment>
    <comment ref="M17" authorId="4" shapeId="0" xr:uid="{F4A7766B-0A2B-4C6C-9FBB-FD70044878CB}">
      <text>
        <r>
          <rPr>
            <sz val="12"/>
            <color indexed="81"/>
            <rFont val="新細明體"/>
            <family val="1"/>
            <charset val="136"/>
          </rPr>
          <t>實例建物成本價格*實例計算面積(扣除車位)</t>
        </r>
      </text>
    </comment>
    <comment ref="J19" authorId="3" shapeId="0" xr:uid="{1347D18F-F22C-4AA6-B6EA-266D25936B4E}">
      <text>
        <r>
          <rPr>
            <sz val="12"/>
            <color indexed="81"/>
            <rFont val="新細明體"/>
            <family val="1"/>
            <charset val="136"/>
          </rPr>
          <t>第13條第3款第1目、第2目:土地權利單價=(買賣實例房地價格-買賣實例建物成本價格)/實例土地持分面積</t>
        </r>
      </text>
    </comment>
    <comment ref="J20" authorId="3" shapeId="0" xr:uid="{9B4542EA-DCB5-4FA4-8E66-90AF3C8C83C6}">
      <text>
        <r>
          <rPr>
            <sz val="12"/>
            <color indexed="81"/>
            <rFont val="新細明體"/>
            <family val="1"/>
            <charset val="136"/>
          </rPr>
          <t xml:space="preserve">第13條第3款:土地正常買賣單價之估計，以土地權利單價為準，並得考慮樓層別效用價差調整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moi0884</author>
    <author>User</author>
    <author>moi1396</author>
  </authors>
  <commentList>
    <comment ref="L7" authorId="0" shapeId="0" xr:uid="{15F94F4C-A174-4567-8A40-270EEDDC6004}">
      <text>
        <r>
          <rPr>
            <sz val="9"/>
            <color indexed="81"/>
            <rFont val="新細明體"/>
            <family val="1"/>
            <charset val="136"/>
          </rPr>
          <t>1.確實成交 
2.詢問成交 
3.待租價 
請填寫代號</t>
        </r>
      </text>
    </comment>
    <comment ref="M7" authorId="0" shapeId="0" xr:uid="{022AA2AD-16D9-4F92-B8F5-709F40040216}">
      <text>
        <r>
          <rPr>
            <sz val="9"/>
            <color indexed="81"/>
            <rFont val="新細明體"/>
            <family val="1"/>
            <charset val="136"/>
          </rPr>
          <t>1.最近3個月
2. 4-6個月 
3.6個月以前
請填寫代號</t>
        </r>
      </text>
    </comment>
    <comment ref="U7" authorId="1" shapeId="0" xr:uid="{BB5A46B2-E839-4214-868D-63E16A24B0C4}">
      <text>
        <r>
          <rPr>
            <b/>
            <sz val="12"/>
            <color indexed="81"/>
            <rFont val="新細明體"/>
            <family val="1"/>
            <charset val="136"/>
          </rPr>
          <t>User:</t>
        </r>
        <r>
          <rPr>
            <sz val="12"/>
            <color indexed="81"/>
            <rFont val="新細明體"/>
            <family val="1"/>
            <charset val="136"/>
          </rPr>
          <t xml:space="preserve">
差異度愈小權重愈大</t>
        </r>
      </text>
    </comment>
    <comment ref="L8" authorId="0" shapeId="0" xr:uid="{CF5238CD-6DCD-4E12-AE6C-1858ABE7CFAC}">
      <text>
        <r>
          <rPr>
            <sz val="9"/>
            <color indexed="81"/>
            <rFont val="新細明體"/>
            <family val="1"/>
            <charset val="136"/>
          </rPr>
          <t>1.確實成交 
2.詢問成交 
3.待租價 
請填寫代號</t>
        </r>
      </text>
    </comment>
    <comment ref="M8" authorId="0" shapeId="0" xr:uid="{20716A30-B9D0-483C-A1C4-F37D3723CE81}">
      <text>
        <r>
          <rPr>
            <sz val="9"/>
            <color indexed="81"/>
            <rFont val="新細明體"/>
            <family val="1"/>
            <charset val="136"/>
          </rPr>
          <t>1.最近3個月
2. 4-6個月 
3.6個月以前
請填寫代號</t>
        </r>
      </text>
    </comment>
    <comment ref="L9" authorId="0" shapeId="0" xr:uid="{695AF5EA-617B-455D-AA7F-FE68B5AC82FB}">
      <text>
        <r>
          <rPr>
            <sz val="9"/>
            <color indexed="81"/>
            <rFont val="新細明體"/>
            <family val="1"/>
            <charset val="136"/>
          </rPr>
          <t>1.確實成交 
2.詢問成交 
3.待租價 
請填寫代號</t>
        </r>
      </text>
    </comment>
    <comment ref="M9" authorId="0" shapeId="0" xr:uid="{535013CB-B6CD-48F6-B96B-865DEFADA27B}">
      <text>
        <r>
          <rPr>
            <sz val="9"/>
            <color indexed="81"/>
            <rFont val="新細明體"/>
            <family val="1"/>
            <charset val="136"/>
          </rPr>
          <t>1.最近3個月
2. 4-6個月 
3.6個月以前
請填寫代號</t>
        </r>
      </text>
    </comment>
    <comment ref="R11" authorId="0" shapeId="0" xr:uid="{22FE3B36-CB5C-4CDE-A116-573F5EDB7913}">
      <text>
        <r>
          <rPr>
            <sz val="11"/>
            <color indexed="81"/>
            <rFont val="新細明體"/>
            <family val="1"/>
            <charset val="136"/>
          </rPr>
          <t>以設備所佔重建成本比例未來建物經濟耐用年數內需更換之重置提撥費</t>
        </r>
      </text>
    </comment>
    <comment ref="R13" authorId="2" shapeId="0" xr:uid="{22D77CFF-C9BB-4BAA-B695-775A95644D40}">
      <text>
        <r>
          <rPr>
            <b/>
            <sz val="10"/>
            <color indexed="81"/>
            <rFont val="新細明體"/>
            <family val="1"/>
            <charset val="136"/>
          </rPr>
          <t>計算值以百分比顯示至小數點第2位</t>
        </r>
        <r>
          <rPr>
            <sz val="10"/>
            <color indexed="81"/>
            <rFont val="新細明體"/>
            <family val="1"/>
            <charset val="136"/>
          </rPr>
          <t xml:space="preserve">
</t>
        </r>
      </text>
    </comment>
    <comment ref="G23" authorId="0" shapeId="0" xr:uid="{FE973910-53FF-4A2B-B16C-B10824D75455}">
      <text>
        <r>
          <rPr>
            <sz val="9"/>
            <color indexed="81"/>
            <rFont val="新細明體"/>
            <family val="1"/>
            <charset val="136"/>
          </rPr>
          <t>1.登錄租金 
2.詢問租金 
3.待租價</t>
        </r>
      </text>
    </comment>
    <comment ref="H23" authorId="2" shapeId="0" xr:uid="{C1298F67-C0B3-4C98-A2AC-31CA8177E11F}">
      <text>
        <r>
          <rPr>
            <b/>
            <sz val="11"/>
            <color indexed="81"/>
            <rFont val="新細明體"/>
            <family val="1"/>
            <charset val="136"/>
          </rPr>
          <t>自行輸入，值以百分比顯示至小數點第2位</t>
        </r>
        <r>
          <rPr>
            <sz val="9"/>
            <color indexed="81"/>
            <rFont val="新細明體"/>
            <family val="1"/>
            <charset val="136"/>
          </rPr>
          <t xml:space="preserve">
</t>
        </r>
      </text>
    </comment>
    <comment ref="J23" authorId="2" shapeId="0" xr:uid="{E6ABD14A-6A12-41CC-ADF6-43ECB762E6AE}">
      <text>
        <r>
          <rPr>
            <b/>
            <sz val="10"/>
            <color indexed="81"/>
            <rFont val="新細明體"/>
            <family val="1"/>
            <charset val="136"/>
          </rPr>
          <t>自行輸入，值以百分比顯示至小數點第2位</t>
        </r>
      </text>
    </comment>
    <comment ref="K23" authorId="2" shapeId="0" xr:uid="{217CDAE7-E60E-4B76-B12B-7E9784DB14EC}">
      <text>
        <r>
          <rPr>
            <b/>
            <sz val="10"/>
            <color indexed="81"/>
            <rFont val="新細明體"/>
            <family val="1"/>
            <charset val="136"/>
          </rPr>
          <t>自行輸入，值以百分比顯示至小數點第2位</t>
        </r>
      </text>
    </comment>
    <comment ref="M23" authorId="2" shapeId="0" xr:uid="{FE0CD087-D834-422C-B1BF-928D97F7F7C3}">
      <text>
        <r>
          <rPr>
            <b/>
            <sz val="10"/>
            <color indexed="81"/>
            <rFont val="新細明體"/>
            <family val="1"/>
            <charset val="136"/>
          </rPr>
          <t>自行輸入，值以百分比顯示至小數點第2位</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USER</author>
    <author>moi1396</author>
  </authors>
  <commentList>
    <comment ref="H5" authorId="0" shapeId="0" xr:uid="{DF27F158-BCF1-430C-B59F-1E03DEF2E3F4}">
      <text>
        <r>
          <rPr>
            <sz val="12"/>
            <color indexed="81"/>
            <rFont val="新細明體"/>
            <family val="1"/>
            <charset val="136"/>
          </rPr>
          <t>0素地
1木造
2鐵造
3磚造
4加強磚造
5鋼筋混凝土加強磚造
6鋼筋混凝土
7鋼骨鋼筋混凝土
8鋼骨</t>
        </r>
      </text>
    </comment>
    <comment ref="D8" authorId="0" shapeId="0" xr:uid="{43ED023D-6B8B-417C-A8FF-97CC59F96643}">
      <text>
        <r>
          <rPr>
            <sz val="12"/>
            <color indexed="81"/>
            <rFont val="新細明體"/>
            <family val="1"/>
            <charset val="136"/>
          </rPr>
          <t>全棟移轉
請填</t>
        </r>
        <r>
          <rPr>
            <b/>
            <sz val="18"/>
            <color indexed="81"/>
            <rFont val="新細明體"/>
            <family val="1"/>
            <charset val="136"/>
          </rPr>
          <t>全</t>
        </r>
      </text>
    </comment>
    <comment ref="D18" authorId="1" shapeId="0" xr:uid="{D3D440A9-5A3C-4566-8F93-25EE91C2DB76}">
      <text>
        <r>
          <rPr>
            <b/>
            <sz val="9"/>
            <color indexed="81"/>
            <rFont val="新細明體"/>
            <family val="1"/>
            <charset val="136"/>
          </rPr>
          <t>自行輸入，值顯示至小數點第2位</t>
        </r>
      </text>
    </comment>
    <comment ref="M20" authorId="1" shapeId="0" xr:uid="{8E1BB244-A463-4067-85F1-2B011308087A}">
      <text>
        <r>
          <rPr>
            <b/>
            <sz val="12"/>
            <color indexed="12"/>
            <rFont val="新細明體"/>
            <family val="1"/>
            <charset val="136"/>
          </rPr>
          <t>1.本欄(M5~M20)公式均改為四捨五入到個位數
2.表1-1~表1-3亦同</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5" authorId="0" shapeId="0" xr:uid="{3218572D-13BC-4313-9187-E251407ABDE0}">
      <text>
        <r>
          <rPr>
            <b/>
            <sz val="9"/>
            <color indexed="81"/>
            <rFont val="新細明體"/>
            <family val="1"/>
            <charset val="136"/>
          </rPr>
          <t>Lm</t>
        </r>
        <r>
          <rPr>
            <sz val="9"/>
            <color indexed="81"/>
            <rFont val="新細明體"/>
            <family val="1"/>
            <charset val="136"/>
          </rPr>
          <t xml:space="preserve">
</t>
        </r>
      </text>
    </comment>
    <comment ref="C5" authorId="0" shapeId="0" xr:uid="{96012371-EAD4-4939-9A54-1C40005943BE}">
      <text>
        <r>
          <rPr>
            <b/>
            <sz val="9"/>
            <color indexed="81"/>
            <rFont val="新細明體"/>
            <family val="1"/>
            <charset val="136"/>
          </rPr>
          <t>BRL</t>
        </r>
        <r>
          <rPr>
            <sz val="9"/>
            <color indexed="81"/>
            <rFont val="新細明體"/>
            <family val="1"/>
            <charset val="136"/>
          </rPr>
          <t xml:space="preserve">
</t>
        </r>
      </text>
    </comment>
    <comment ref="E5" authorId="0" shapeId="0" xr:uid="{8C3991CD-7414-4A11-952D-E3FF52B6EC5B}">
      <text>
        <r>
          <rPr>
            <b/>
            <sz val="9"/>
            <color indexed="81"/>
            <rFont val="新細明體"/>
            <family val="1"/>
            <charset val="136"/>
          </rPr>
          <t>L1m</t>
        </r>
        <r>
          <rPr>
            <sz val="9"/>
            <color indexed="81"/>
            <rFont val="新細明體"/>
            <family val="1"/>
            <charset val="136"/>
          </rPr>
          <t xml:space="preserve">
</t>
        </r>
      </text>
    </comment>
    <comment ref="F5" authorId="0" shapeId="0" xr:uid="{DB586358-CC6C-4363-96C4-E434C038FB72}">
      <text>
        <r>
          <rPr>
            <b/>
            <sz val="9"/>
            <color indexed="81"/>
            <rFont val="新細明體"/>
            <family val="1"/>
            <charset val="136"/>
          </rPr>
          <t>BRL1</t>
        </r>
      </text>
    </comment>
    <comment ref="E6" authorId="0" shapeId="0" xr:uid="{A4D2B8A8-7614-4132-B71B-6B4F0E3533A9}">
      <text>
        <r>
          <rPr>
            <b/>
            <sz val="9"/>
            <color indexed="81"/>
            <rFont val="新細明體"/>
            <family val="1"/>
            <charset val="136"/>
          </rPr>
          <t>L2m</t>
        </r>
        <r>
          <rPr>
            <sz val="9"/>
            <color indexed="81"/>
            <rFont val="新細明體"/>
            <family val="1"/>
            <charset val="136"/>
          </rPr>
          <t xml:space="preserve">
</t>
        </r>
      </text>
    </comment>
    <comment ref="F6" authorId="0" shapeId="0" xr:uid="{C359589B-E4EC-4795-8DD7-13BECFDDD932}">
      <text>
        <r>
          <rPr>
            <b/>
            <sz val="9"/>
            <color indexed="81"/>
            <rFont val="新細明體"/>
            <family val="1"/>
            <charset val="136"/>
          </rPr>
          <t>BRL2</t>
        </r>
        <r>
          <rPr>
            <sz val="9"/>
            <color indexed="81"/>
            <rFont val="新細明體"/>
            <family val="1"/>
            <charset val="136"/>
          </rPr>
          <t xml:space="preserve">
</t>
        </r>
      </text>
    </comment>
    <comment ref="B7" authorId="0" shapeId="0" xr:uid="{15DF4D64-5D67-4D45-B820-A71E3FA74935}">
      <text>
        <r>
          <rPr>
            <b/>
            <sz val="9"/>
            <color indexed="81"/>
            <rFont val="新細明體"/>
            <family val="1"/>
            <charset val="136"/>
          </rPr>
          <t>Hm</t>
        </r>
        <r>
          <rPr>
            <sz val="9"/>
            <color indexed="81"/>
            <rFont val="新細明體"/>
            <family val="1"/>
            <charset val="136"/>
          </rPr>
          <t xml:space="preserve">
</t>
        </r>
      </text>
    </comment>
    <comment ref="C7" authorId="0" shapeId="0" xr:uid="{B28DC255-0851-4FA7-83A4-03A8A0D79D43}">
      <text>
        <r>
          <rPr>
            <b/>
            <sz val="9"/>
            <color indexed="81"/>
            <rFont val="新細明體"/>
            <family val="1"/>
            <charset val="136"/>
          </rPr>
          <t>BRH</t>
        </r>
      </text>
    </comment>
    <comment ref="E7" authorId="0" shapeId="0" xr:uid="{2FD4ABF1-0F73-4205-B76F-230B5E11952C}">
      <text>
        <r>
          <rPr>
            <b/>
            <sz val="9"/>
            <color indexed="81"/>
            <rFont val="新細明體"/>
            <family val="1"/>
            <charset val="136"/>
          </rPr>
          <t>H1m</t>
        </r>
        <r>
          <rPr>
            <sz val="9"/>
            <color indexed="81"/>
            <rFont val="新細明體"/>
            <family val="1"/>
            <charset val="136"/>
          </rPr>
          <t xml:space="preserve">
</t>
        </r>
      </text>
    </comment>
    <comment ref="F7" authorId="0" shapeId="0" xr:uid="{623C8B83-424D-45E0-A75D-F5E379AEF33E}">
      <text>
        <r>
          <rPr>
            <b/>
            <sz val="9"/>
            <color indexed="81"/>
            <rFont val="新細明體"/>
            <family val="1"/>
            <charset val="136"/>
          </rPr>
          <t>BRH1</t>
        </r>
      </text>
    </comment>
    <comment ref="E8" authorId="0" shapeId="0" xr:uid="{9B05BAFD-A749-4403-A49B-2B379F9AEC6A}">
      <text>
        <r>
          <rPr>
            <b/>
            <sz val="9"/>
            <color indexed="81"/>
            <rFont val="新細明體"/>
            <family val="1"/>
            <charset val="136"/>
          </rPr>
          <t>H2m</t>
        </r>
        <r>
          <rPr>
            <sz val="9"/>
            <color indexed="81"/>
            <rFont val="新細明體"/>
            <family val="1"/>
            <charset val="136"/>
          </rPr>
          <t xml:space="preserve">
</t>
        </r>
      </text>
    </comment>
    <comment ref="F8" authorId="0" shapeId="0" xr:uid="{E441AA8B-5236-4906-BF1C-05362C736C0F}">
      <text>
        <r>
          <rPr>
            <b/>
            <sz val="9"/>
            <color indexed="81"/>
            <rFont val="新細明體"/>
            <family val="1"/>
            <charset val="136"/>
          </rPr>
          <t>BRH2</t>
        </r>
        <r>
          <rPr>
            <sz val="9"/>
            <color indexed="81"/>
            <rFont val="新細明體"/>
            <family val="1"/>
            <charset val="136"/>
          </rPr>
          <t xml:space="preserve">
</t>
        </r>
      </text>
    </comment>
    <comment ref="B9" authorId="0" shapeId="0" xr:uid="{400E81D8-C850-4A13-A5C7-0334C567F0AA}">
      <text>
        <r>
          <rPr>
            <sz val="9"/>
            <color indexed="81"/>
            <rFont val="新細明體"/>
            <family val="1"/>
            <charset val="136"/>
          </rPr>
          <t xml:space="preserve">Lm+Hm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koikue</author>
    <author>洪郁惠</author>
  </authors>
  <commentList>
    <comment ref="B5" authorId="0" shapeId="0" xr:uid="{0CF98F6E-F1B5-46D1-9B9F-EA2B293163A1}">
      <text>
        <r>
          <rPr>
            <b/>
            <sz val="14"/>
            <color indexed="81"/>
            <rFont val="新細明體"/>
            <family val="1"/>
            <charset val="136"/>
          </rPr>
          <t>毗鄰地價區段均填載，未納入計算者於備註欄註明原因。</t>
        </r>
        <r>
          <rPr>
            <sz val="14"/>
            <color indexed="81"/>
            <rFont val="新細明體"/>
            <family val="1"/>
            <charset val="136"/>
          </rPr>
          <t xml:space="preserve">
</t>
        </r>
      </text>
    </comment>
    <comment ref="F5" authorId="0" shapeId="0" xr:uid="{EE9BCC74-7D9B-4716-9A97-D5407394D269}">
      <text>
        <r>
          <rPr>
            <b/>
            <sz val="12"/>
            <color indexed="81"/>
            <rFont val="新細明體"/>
            <family val="1"/>
            <charset val="136"/>
          </rPr>
          <t xml:space="preserve">依第22條第4項規定，公共設施保留地毗鄰之非公共設施保留地地價區段，以其比準地地價為區段地價，尾數進位方式依第21條辦理。
</t>
        </r>
      </text>
    </comment>
    <comment ref="G5" authorId="0" shapeId="0" xr:uid="{05E329FA-5394-4D4D-8934-6A58A5F4BAD3}">
      <text>
        <r>
          <rPr>
            <b/>
            <sz val="14"/>
            <color indexed="81"/>
            <rFont val="新細明體"/>
            <family val="1"/>
            <charset val="136"/>
          </rPr>
          <t>對應區段號欄，註明未納入計算之原因或其他需註記事項。</t>
        </r>
        <r>
          <rPr>
            <sz val="14"/>
            <color indexed="81"/>
            <rFont val="新細明體"/>
            <family val="1"/>
            <charset val="136"/>
          </rPr>
          <t xml:space="preserve">
</t>
        </r>
      </text>
    </comment>
    <comment ref="F16" authorId="1" shapeId="0" xr:uid="{81B44B91-98D2-47B1-B6C0-4619CDFDBA0F}">
      <text>
        <r>
          <rPr>
            <b/>
            <sz val="9"/>
            <color indexed="81"/>
            <rFont val="細明體"/>
            <family val="3"/>
            <charset val="136"/>
          </rPr>
          <t>請自行修正計算公式及尾數進位方式</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moi1396</author>
    <author>洪郁惠</author>
  </authors>
  <commentList>
    <comment ref="D5" authorId="0" shapeId="0" xr:uid="{833BA48D-A4CC-4BF5-BC32-1BDFCDD5AA79}">
      <text>
        <r>
          <rPr>
            <sz val="12"/>
            <color indexed="81"/>
            <rFont val="標楷體"/>
            <family val="4"/>
            <charset val="136"/>
          </rPr>
          <t>自表14之比準地地價(尾數已依第21條第1項規定進位)帶入</t>
        </r>
      </text>
    </comment>
    <comment ref="G9" authorId="1" shapeId="0" xr:uid="{EEC17AF8-D236-43F4-AEBC-DDB2BBA9832C}">
      <text>
        <r>
          <rPr>
            <sz val="12"/>
            <color indexed="81"/>
            <rFont val="標楷體"/>
            <family val="4"/>
            <charset val="136"/>
          </rPr>
          <t>尾數依第21條第1項規定進位</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moi1396</author>
  </authors>
  <commentList>
    <comment ref="J3" authorId="0" shapeId="0" xr:uid="{EDA4E561-D9D0-424E-8835-8C215134B955}">
      <text>
        <r>
          <rPr>
            <b/>
            <sz val="9"/>
            <color indexed="81"/>
            <rFont val="新細明體"/>
            <family val="1"/>
            <charset val="136"/>
          </rPr>
          <t>1.請自行調整計算公式
2.尾數依第21條規定進位</t>
        </r>
        <r>
          <rPr>
            <sz val="9"/>
            <color indexed="81"/>
            <rFont val="新細明體"/>
            <family val="1"/>
            <charset val="136"/>
          </rPr>
          <t xml:space="preserve">
</t>
        </r>
      </text>
    </comment>
    <comment ref="K3" authorId="0" shapeId="0" xr:uid="{1AD35344-7C13-4F09-9808-E2D2D17ACC31}">
      <text>
        <r>
          <rPr>
            <b/>
            <sz val="9"/>
            <color indexed="81"/>
            <rFont val="新細明體"/>
            <family val="1"/>
            <charset val="136"/>
          </rPr>
          <t>約130字</t>
        </r>
        <r>
          <rPr>
            <sz val="9"/>
            <color indexed="81"/>
            <rFont val="新細明體"/>
            <family val="1"/>
            <charset val="136"/>
          </rPr>
          <t xml:space="preserve">
</t>
        </r>
      </text>
    </comment>
    <comment ref="F4" authorId="0" shapeId="0" xr:uid="{351EB013-9C25-42E6-B47A-721C4A1F0692}">
      <text>
        <r>
          <rPr>
            <b/>
            <sz val="9"/>
            <color indexed="81"/>
            <rFont val="新細明體"/>
            <family val="1"/>
            <charset val="136"/>
          </rPr>
          <t xml:space="preserve">帶入表4儲存格G32數值
</t>
        </r>
        <r>
          <rPr>
            <sz val="9"/>
            <color indexed="81"/>
            <rFont val="新細明體"/>
            <family val="1"/>
            <charset val="136"/>
          </rPr>
          <t xml:space="preserve">
</t>
        </r>
      </text>
    </comment>
    <comment ref="H4" authorId="0" shapeId="0" xr:uid="{36F92E79-0DAF-4209-AE82-8F19B3B67ADA}">
      <text>
        <r>
          <rPr>
            <b/>
            <sz val="9"/>
            <color indexed="81"/>
            <rFont val="新細明體"/>
            <family val="1"/>
            <charset val="136"/>
          </rPr>
          <t>自表2帶入
1.</t>
        </r>
        <r>
          <rPr>
            <b/>
            <sz val="9"/>
            <color indexed="12"/>
            <rFont val="新細明體"/>
            <family val="1"/>
            <charset val="136"/>
          </rPr>
          <t>地上無建物：</t>
        </r>
        <r>
          <rPr>
            <b/>
            <sz val="9"/>
            <color indexed="81"/>
            <rFont val="新細明體"/>
            <family val="1"/>
            <charset val="136"/>
          </rPr>
          <t>帶入儲存格F21數值</t>
        </r>
        <r>
          <rPr>
            <sz val="9"/>
            <color indexed="81"/>
            <rFont val="新細明體"/>
            <family val="1"/>
            <charset val="136"/>
          </rPr>
          <t xml:space="preserve">
</t>
        </r>
        <r>
          <rPr>
            <b/>
            <sz val="9"/>
            <color indexed="81"/>
            <rFont val="新細明體"/>
            <family val="1"/>
            <charset val="136"/>
          </rPr>
          <t>2.</t>
        </r>
        <r>
          <rPr>
            <b/>
            <sz val="9"/>
            <color indexed="53"/>
            <rFont val="新細明體"/>
            <family val="1"/>
            <charset val="136"/>
          </rPr>
          <t>地上有建物</t>
        </r>
        <r>
          <rPr>
            <b/>
            <sz val="9"/>
            <color indexed="81"/>
            <rFont val="新細明體"/>
            <family val="1"/>
            <charset val="136"/>
          </rPr>
          <t>：帶入儲存格F22數值</t>
        </r>
      </text>
    </comment>
  </commentList>
</comments>
</file>

<file path=xl/sharedStrings.xml><?xml version="1.0" encoding="utf-8"?>
<sst xmlns="http://schemas.openxmlformats.org/spreadsheetml/2006/main" count="1829" uniqueCount="749">
  <si>
    <t>估價基準日</t>
    <phoneticPr fontId="3" type="noConversion"/>
  </si>
  <si>
    <r>
      <t>104</t>
    </r>
    <r>
      <rPr>
        <sz val="12"/>
        <color indexed="12"/>
        <rFont val="細明體"/>
        <family val="3"/>
        <charset val="136"/>
      </rPr>
      <t>年</t>
    </r>
    <r>
      <rPr>
        <sz val="12"/>
        <color indexed="12"/>
        <rFont val="Times New Roman"/>
        <family val="1"/>
      </rPr>
      <t>03</t>
    </r>
    <r>
      <rPr>
        <sz val="12"/>
        <color indexed="12"/>
        <rFont val="細明體"/>
        <family val="3"/>
        <charset val="136"/>
      </rPr>
      <t>月</t>
    </r>
    <r>
      <rPr>
        <sz val="12"/>
        <color indexed="12"/>
        <rFont val="Times New Roman"/>
        <family val="1"/>
      </rPr>
      <t>01</t>
    </r>
    <r>
      <rPr>
        <sz val="12"/>
        <color indexed="12"/>
        <rFont val="細明體"/>
        <family val="3"/>
        <charset val="136"/>
      </rPr>
      <t>日</t>
    </r>
    <phoneticPr fontId="3" type="noConversion"/>
  </si>
  <si>
    <t>擬評變動幅度</t>
    <phoneticPr fontId="3" type="noConversion"/>
  </si>
  <si>
    <t>案號：</t>
    <phoneticPr fontId="3" type="noConversion"/>
  </si>
  <si>
    <r>
      <t>0</t>
    </r>
    <r>
      <rPr>
        <sz val="10"/>
        <rFont val="標楷體"/>
        <family val="4"/>
        <charset val="136"/>
      </rPr>
      <t>基本資料</t>
    </r>
  </si>
  <si>
    <t>○○市場</t>
  </si>
  <si>
    <t>非臨街地</t>
    <phoneticPr fontId="3" type="noConversion"/>
  </si>
  <si>
    <t>無</t>
    <phoneticPr fontId="3" type="noConversion"/>
  </si>
  <si>
    <t>-</t>
    <phoneticPr fontId="3" type="noConversion"/>
  </si>
  <si>
    <t>段小段</t>
    <phoneticPr fontId="3" type="noConversion"/>
  </si>
  <si>
    <t>擬評市價</t>
    <phoneticPr fontId="3" type="noConversion"/>
  </si>
  <si>
    <t>評定市價</t>
    <phoneticPr fontId="3" type="noConversion"/>
  </si>
  <si>
    <t>鄉鎮市區</t>
    <phoneticPr fontId="3" type="noConversion"/>
  </si>
  <si>
    <t>地號</t>
    <phoneticPr fontId="3" type="noConversion"/>
  </si>
  <si>
    <t>○○</t>
    <phoneticPr fontId="3" type="noConversion"/>
  </si>
  <si>
    <t>△△</t>
    <phoneticPr fontId="3" type="noConversion"/>
  </si>
  <si>
    <t>◎◎</t>
    <phoneticPr fontId="3" type="noConversion"/>
  </si>
  <si>
    <t>☆☆</t>
    <phoneticPr fontId="3" type="noConversion"/>
  </si>
  <si>
    <t>◇◇</t>
    <phoneticPr fontId="3" type="noConversion"/>
  </si>
  <si>
    <r>
      <t>評定變動幅度</t>
    </r>
    <r>
      <rPr>
        <sz val="11"/>
        <rFont val="Times New Roman"/>
        <family val="1"/>
      </rPr>
      <t>(%)</t>
    </r>
    <phoneticPr fontId="3" type="noConversion"/>
  </si>
  <si>
    <t>備註</t>
    <phoneticPr fontId="3" type="noConversion"/>
  </si>
  <si>
    <t>地價     區段號</t>
    <phoneticPr fontId="3" type="noConversion"/>
  </si>
  <si>
    <t>建號</t>
  </si>
  <si>
    <t>主要構造種類</t>
  </si>
  <si>
    <t>資金來源</t>
  </si>
  <si>
    <t>利率</t>
  </si>
  <si>
    <t>資金比例</t>
  </si>
  <si>
    <t>加權平均利率</t>
  </si>
  <si>
    <t>自有資金</t>
  </si>
  <si>
    <t>借貸資金</t>
  </si>
  <si>
    <t>預售收入</t>
  </si>
  <si>
    <t>折舊方法</t>
  </si>
  <si>
    <t>土地每年淨收益</t>
  </si>
  <si>
    <t>綜合利率計算</t>
  </si>
  <si>
    <t>實例編號：</t>
    <phoneticPr fontId="3" type="noConversion"/>
  </si>
  <si>
    <r>
      <t xml:space="preserve"> </t>
    </r>
    <r>
      <rPr>
        <sz val="12"/>
        <rFont val="標楷體"/>
        <family val="4"/>
        <charset val="136"/>
      </rPr>
      <t>成</t>
    </r>
    <r>
      <rPr>
        <sz val="12"/>
        <rFont val="Times New Roman"/>
        <family val="1"/>
      </rPr>
      <t xml:space="preserve"> </t>
    </r>
    <r>
      <rPr>
        <sz val="12"/>
        <rFont val="標楷體"/>
        <family val="4"/>
        <charset val="136"/>
      </rPr>
      <t>本</t>
    </r>
    <r>
      <rPr>
        <sz val="12"/>
        <rFont val="Times New Roman"/>
        <family val="1"/>
      </rPr>
      <t xml:space="preserve"> </t>
    </r>
    <r>
      <rPr>
        <sz val="12"/>
        <rFont val="標楷體"/>
        <family val="4"/>
        <charset val="136"/>
      </rPr>
      <t>價</t>
    </r>
    <r>
      <rPr>
        <sz val="12"/>
        <rFont val="Times New Roman"/>
        <family val="1"/>
      </rPr>
      <t xml:space="preserve"> </t>
    </r>
    <r>
      <rPr>
        <sz val="12"/>
        <rFont val="標楷體"/>
        <family val="4"/>
        <charset val="136"/>
      </rPr>
      <t>格</t>
    </r>
    <r>
      <rPr>
        <sz val="12"/>
        <rFont val="Times New Roman"/>
        <family val="1"/>
      </rPr>
      <t xml:space="preserve"> </t>
    </r>
    <r>
      <rPr>
        <sz val="12"/>
        <rFont val="標楷體"/>
        <family val="4"/>
        <charset val="136"/>
      </rPr>
      <t>計</t>
    </r>
    <r>
      <rPr>
        <sz val="12"/>
        <rFont val="Times New Roman"/>
        <family val="1"/>
      </rPr>
      <t xml:space="preserve"> </t>
    </r>
    <r>
      <rPr>
        <sz val="12"/>
        <rFont val="標楷體"/>
        <family val="4"/>
        <charset val="136"/>
      </rPr>
      <t>算</t>
    </r>
    <phoneticPr fontId="3" type="noConversion"/>
  </si>
  <si>
    <t>年期：</t>
    <phoneticPr fontId="3" type="noConversion"/>
  </si>
  <si>
    <r>
      <t>資</t>
    </r>
    <r>
      <rPr>
        <sz val="12"/>
        <rFont val="Times New Roman"/>
        <family val="1"/>
      </rPr>
      <t xml:space="preserve"> </t>
    </r>
    <r>
      <rPr>
        <sz val="12"/>
        <rFont val="標楷體"/>
        <family val="4"/>
        <charset val="136"/>
      </rPr>
      <t>金</t>
    </r>
    <r>
      <rPr>
        <sz val="12"/>
        <rFont val="Times New Roman"/>
        <family val="1"/>
      </rPr>
      <t xml:space="preserve"> </t>
    </r>
    <r>
      <rPr>
        <sz val="12"/>
        <rFont val="標楷體"/>
        <family val="4"/>
        <charset val="136"/>
      </rPr>
      <t>運</t>
    </r>
    <r>
      <rPr>
        <sz val="12"/>
        <rFont val="Times New Roman"/>
        <family val="1"/>
      </rPr>
      <t xml:space="preserve"> </t>
    </r>
    <r>
      <rPr>
        <sz val="12"/>
        <rFont val="標楷體"/>
        <family val="4"/>
        <charset val="136"/>
      </rPr>
      <t>用</t>
    </r>
    <r>
      <rPr>
        <sz val="12"/>
        <rFont val="Times New Roman"/>
        <family val="1"/>
      </rPr>
      <t xml:space="preserve"> </t>
    </r>
    <r>
      <rPr>
        <sz val="12"/>
        <rFont val="標楷體"/>
        <family val="4"/>
        <charset val="136"/>
      </rPr>
      <t>年</t>
    </r>
    <r>
      <rPr>
        <sz val="12"/>
        <rFont val="Times New Roman"/>
        <family val="1"/>
      </rPr>
      <t xml:space="preserve"> </t>
    </r>
    <r>
      <rPr>
        <sz val="12"/>
        <rFont val="標楷體"/>
        <family val="4"/>
        <charset val="136"/>
      </rPr>
      <t>數</t>
    </r>
  </si>
  <si>
    <t>區段編號</t>
  </si>
  <si>
    <t>區段範圍</t>
  </si>
  <si>
    <t>區</t>
  </si>
  <si>
    <t>段</t>
  </si>
  <si>
    <t>地</t>
  </si>
  <si>
    <t>價</t>
  </si>
  <si>
    <t>計</t>
  </si>
  <si>
    <t>算</t>
  </si>
  <si>
    <t>區段號</t>
  </si>
  <si>
    <t>備註</t>
  </si>
  <si>
    <t>合    計</t>
  </si>
  <si>
    <t>案號：</t>
    <phoneticPr fontId="3" type="noConversion"/>
  </si>
  <si>
    <t>條件</t>
    <phoneticPr fontId="3" type="noConversion"/>
  </si>
  <si>
    <t>差異率</t>
    <phoneticPr fontId="3" type="noConversion"/>
  </si>
  <si>
    <r>
      <t xml:space="preserve">1         </t>
    </r>
    <r>
      <rPr>
        <sz val="10"/>
        <rFont val="標楷體"/>
        <family val="4"/>
        <charset val="136"/>
      </rPr>
      <t>宗地條件</t>
    </r>
    <phoneticPr fontId="3" type="noConversion"/>
  </si>
  <si>
    <t>-</t>
    <phoneticPr fontId="3" type="noConversion"/>
  </si>
  <si>
    <t>方形</t>
    <phoneticPr fontId="3" type="noConversion"/>
  </si>
  <si>
    <t>不規則形</t>
    <phoneticPr fontId="3" type="noConversion"/>
  </si>
  <si>
    <t>單面臨街</t>
    <phoneticPr fontId="3" type="noConversion"/>
  </si>
  <si>
    <t>非臨街地</t>
    <phoneticPr fontId="3" type="noConversion"/>
  </si>
  <si>
    <t>平坦</t>
    <phoneticPr fontId="3" type="noConversion"/>
  </si>
  <si>
    <t>低漥</t>
    <phoneticPr fontId="3" type="noConversion"/>
  </si>
  <si>
    <t>高亢</t>
    <phoneticPr fontId="3" type="noConversion"/>
  </si>
  <si>
    <t>農路</t>
    <phoneticPr fontId="3" type="noConversion"/>
  </si>
  <si>
    <t>M</t>
    <phoneticPr fontId="3" type="noConversion"/>
  </si>
  <si>
    <r>
      <t xml:space="preserve">3         </t>
    </r>
    <r>
      <rPr>
        <sz val="10"/>
        <rFont val="標楷體"/>
        <family val="4"/>
        <charset val="136"/>
      </rPr>
      <t>接近條件</t>
    </r>
    <phoneticPr fontId="3" type="noConversion"/>
  </si>
  <si>
    <t>○○市場</t>
    <phoneticPr fontId="3" type="noConversion"/>
  </si>
  <si>
    <t>○○車站</t>
    <phoneticPr fontId="3" type="noConversion"/>
  </si>
  <si>
    <t>4         周邊環境條件</t>
    <phoneticPr fontId="3" type="noConversion"/>
  </si>
  <si>
    <t>○○垃圾焚化場</t>
    <phoneticPr fontId="3" type="noConversion"/>
  </si>
  <si>
    <r>
      <t xml:space="preserve">5         </t>
    </r>
    <r>
      <rPr>
        <sz val="10"/>
        <rFont val="標楷體"/>
        <family val="4"/>
        <charset val="136"/>
      </rPr>
      <t>行政條件</t>
    </r>
    <phoneticPr fontId="3" type="noConversion"/>
  </si>
  <si>
    <t>農牧用地</t>
    <phoneticPr fontId="3" type="noConversion"/>
  </si>
  <si>
    <t>林業用地</t>
    <phoneticPr fontId="3" type="noConversion"/>
  </si>
  <si>
    <t>總調整率</t>
    <phoneticPr fontId="3" type="noConversion"/>
  </si>
  <si>
    <r>
      <t>宗地市價試算價格(元/M</t>
    </r>
    <r>
      <rPr>
        <vertAlign val="superscript"/>
        <sz val="10"/>
        <rFont val="標楷體"/>
        <family val="4"/>
        <charset val="136"/>
      </rPr>
      <t>2</t>
    </r>
    <r>
      <rPr>
        <sz val="10"/>
        <rFont val="標楷體"/>
        <family val="4"/>
        <charset val="136"/>
      </rPr>
      <t>)</t>
    </r>
    <phoneticPr fontId="3" type="noConversion"/>
  </si>
  <si>
    <r>
      <t>宗地市價(元/M</t>
    </r>
    <r>
      <rPr>
        <vertAlign val="superscript"/>
        <sz val="10"/>
        <rFont val="標楷體"/>
        <family val="4"/>
        <charset val="136"/>
      </rPr>
      <t>2</t>
    </r>
    <r>
      <rPr>
        <sz val="10"/>
        <rFont val="標楷體"/>
        <family val="4"/>
        <charset val="136"/>
      </rPr>
      <t>)</t>
    </r>
    <phoneticPr fontId="3" type="noConversion"/>
  </si>
  <si>
    <t>案號：</t>
    <phoneticPr fontId="3" type="noConversion"/>
  </si>
  <si>
    <t>鄉鎮市區</t>
    <phoneticPr fontId="3" type="noConversion"/>
  </si>
  <si>
    <t>段小段</t>
    <phoneticPr fontId="3" type="noConversion"/>
  </si>
  <si>
    <t>地號</t>
    <phoneticPr fontId="3" type="noConversion"/>
  </si>
  <si>
    <r>
      <t>面積（</t>
    </r>
    <r>
      <rPr>
        <sz val="12"/>
        <rFont val="Times New Roman"/>
        <family val="1"/>
      </rPr>
      <t>M</t>
    </r>
    <r>
      <rPr>
        <vertAlign val="superscript"/>
        <sz val="12"/>
        <rFont val="Times New Roman"/>
        <family val="1"/>
      </rPr>
      <t>2</t>
    </r>
    <r>
      <rPr>
        <sz val="12"/>
        <rFont val="標楷體"/>
        <family val="4"/>
        <charset val="136"/>
      </rPr>
      <t>）</t>
    </r>
    <phoneticPr fontId="3" type="noConversion"/>
  </si>
  <si>
    <t>評定市價</t>
    <phoneticPr fontId="3" type="noConversion"/>
  </si>
  <si>
    <r>
      <t>(</t>
    </r>
    <r>
      <rPr>
        <sz val="9"/>
        <rFont val="標楷體"/>
        <family val="4"/>
        <charset val="136"/>
      </rPr>
      <t>元</t>
    </r>
    <r>
      <rPr>
        <sz val="9"/>
        <rFont val="Times New Roman"/>
        <family val="1"/>
      </rPr>
      <t>/M</t>
    </r>
    <r>
      <rPr>
        <vertAlign val="superscript"/>
        <sz val="9"/>
        <rFont val="Times New Roman"/>
        <family val="1"/>
      </rPr>
      <t>2</t>
    </r>
    <r>
      <rPr>
        <sz val="9"/>
        <rFont val="Times New Roman"/>
        <family val="1"/>
      </rPr>
      <t>)</t>
    </r>
    <phoneticPr fontId="3" type="noConversion"/>
  </si>
  <si>
    <t>30</t>
    <phoneticPr fontId="3" type="noConversion"/>
  </si>
  <si>
    <r>
      <t>31</t>
    </r>
    <r>
      <rPr>
        <sz val="12"/>
        <rFont val="細明體"/>
        <family val="3"/>
        <charset val="136"/>
      </rPr>
      <t>等</t>
    </r>
    <phoneticPr fontId="3" type="noConversion"/>
  </si>
  <si>
    <t>31</t>
    <phoneticPr fontId="3" type="noConversion"/>
  </si>
  <si>
    <t>31-1</t>
    <phoneticPr fontId="3" type="noConversion"/>
  </si>
  <si>
    <t>31-2</t>
    <phoneticPr fontId="3" type="noConversion"/>
  </si>
  <si>
    <t>31-3</t>
    <phoneticPr fontId="3" type="noConversion"/>
  </si>
  <si>
    <t>32</t>
    <phoneticPr fontId="3" type="noConversion"/>
  </si>
  <si>
    <t>33</t>
    <phoneticPr fontId="3" type="noConversion"/>
  </si>
  <si>
    <t>34</t>
    <phoneticPr fontId="3" type="noConversion"/>
  </si>
  <si>
    <t>35</t>
    <phoneticPr fontId="3" type="noConversion"/>
  </si>
  <si>
    <t>範圍說明</t>
    <phoneticPr fontId="3" type="noConversion"/>
  </si>
  <si>
    <r>
      <t>□□</t>
    </r>
    <r>
      <rPr>
        <sz val="11"/>
        <rFont val="Times New Roman"/>
        <family val="1"/>
      </rPr>
      <t>-1</t>
    </r>
    <phoneticPr fontId="3" type="noConversion"/>
  </si>
  <si>
    <r>
      <t>□□</t>
    </r>
    <r>
      <rPr>
        <sz val="11"/>
        <rFont val="Times New Roman"/>
        <family val="1"/>
      </rPr>
      <t>-2</t>
    </r>
    <phoneticPr fontId="3" type="noConversion"/>
  </si>
  <si>
    <r>
      <t>□□</t>
    </r>
    <r>
      <rPr>
        <sz val="11"/>
        <rFont val="Times New Roman"/>
        <family val="1"/>
      </rPr>
      <t>-3</t>
    </r>
    <phoneticPr fontId="3" type="noConversion"/>
  </si>
  <si>
    <t>現期：</t>
    <phoneticPr fontId="3" type="noConversion"/>
  </si>
  <si>
    <t>基期：</t>
    <phoneticPr fontId="3" type="noConversion"/>
  </si>
  <si>
    <t>實例門牌</t>
  </si>
  <si>
    <t>實例登記面積</t>
  </si>
  <si>
    <t>:實例總成本之</t>
  </si>
  <si>
    <t>△△</t>
    <phoneticPr fontId="3" type="noConversion"/>
  </si>
  <si>
    <t>△△鎮全鎮</t>
    <phoneticPr fontId="3" type="noConversion"/>
  </si>
  <si>
    <t>◎◎</t>
    <phoneticPr fontId="3" type="noConversion"/>
  </si>
  <si>
    <t>☆☆</t>
    <phoneticPr fontId="3" type="noConversion"/>
  </si>
  <si>
    <t>◇◇</t>
    <phoneticPr fontId="3" type="noConversion"/>
  </si>
  <si>
    <t>◎◎鎮、☆☆鎮及◇◇鎮共3鎮全部</t>
    <phoneticPr fontId="3" type="noConversion"/>
  </si>
  <si>
    <r>
      <t>□□</t>
    </r>
    <r>
      <rPr>
        <sz val="11"/>
        <rFont val="Times New Roman"/>
        <family val="1"/>
      </rPr>
      <t>-1</t>
    </r>
    <phoneticPr fontId="3" type="noConversion"/>
  </si>
  <si>
    <t>□□鄉內介於＊＊、※※、■■間之區域</t>
    <phoneticPr fontId="3" type="noConversion"/>
  </si>
  <si>
    <t>□□鄉內介於＊※、※＊、※■間之區域</t>
    <phoneticPr fontId="3" type="noConversion"/>
  </si>
  <si>
    <t>□□鄉內介於＊＊、※＊※、■＊■間之區域</t>
    <phoneticPr fontId="3" type="noConversion"/>
  </si>
  <si>
    <t>估價基準日：</t>
    <phoneticPr fontId="3" type="noConversion"/>
  </si>
  <si>
    <t>年期</t>
    <phoneticPr fontId="3" type="noConversion"/>
  </si>
  <si>
    <t>照案通過</t>
  </si>
  <si>
    <t>修正理由　</t>
  </si>
  <si>
    <r>
      <t xml:space="preserve">2 </t>
    </r>
    <r>
      <rPr>
        <sz val="8"/>
        <rFont val="標楷體"/>
        <family val="4"/>
        <charset val="136"/>
      </rPr>
      <t>道路條件</t>
    </r>
    <phoneticPr fontId="3" type="noConversion"/>
  </si>
  <si>
    <t>比準地：宗地流水號</t>
    <phoneticPr fontId="3" type="noConversion"/>
  </si>
  <si>
    <t>~</t>
  </si>
  <si>
    <t>宗地流水號</t>
    <phoneticPr fontId="3" type="noConversion"/>
  </si>
  <si>
    <t>個別因素調整項目</t>
    <phoneticPr fontId="3" type="noConversion"/>
  </si>
  <si>
    <t>資本利息綜合利率</t>
    <phoneticPr fontId="3" type="noConversion"/>
  </si>
  <si>
    <t>基本資料</t>
    <phoneticPr fontId="3" type="noConversion"/>
  </si>
  <si>
    <t>基地坐落</t>
    <phoneticPr fontId="3" type="noConversion"/>
  </si>
  <si>
    <t>○○段○○小段○○地號</t>
    <phoneticPr fontId="3" type="noConversion"/>
  </si>
  <si>
    <t>交易日期</t>
    <phoneticPr fontId="3" type="noConversion"/>
  </si>
  <si>
    <r>
      <t>實例計算面積</t>
    </r>
    <r>
      <rPr>
        <sz val="10"/>
        <rFont val="Times New Roman"/>
        <family val="1"/>
      </rPr>
      <t>(</t>
    </r>
    <r>
      <rPr>
        <sz val="10"/>
        <rFont val="標楷體"/>
        <family val="4"/>
        <charset val="136"/>
      </rPr>
      <t>扣除車位</t>
    </r>
    <r>
      <rPr>
        <sz val="10"/>
        <rFont val="Times New Roman"/>
        <family val="1"/>
      </rPr>
      <t>)</t>
    </r>
  </si>
  <si>
    <r>
      <t>:</t>
    </r>
    <r>
      <rPr>
        <sz val="12"/>
        <rFont val="標楷體"/>
        <family val="4"/>
        <charset val="136"/>
      </rPr>
      <t>實例總成本之</t>
    </r>
  </si>
  <si>
    <t>分期投入資本數額及年數調整</t>
    <phoneticPr fontId="3" type="noConversion"/>
  </si>
  <si>
    <r>
      <t>實例建物成本價格</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</si>
  <si>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r>
      <t>累</t>
    </r>
    <r>
      <rPr>
        <sz val="12"/>
        <rFont val="Times New Roman"/>
        <family val="1"/>
      </rPr>
      <t xml:space="preserve"> </t>
    </r>
    <r>
      <rPr>
        <sz val="12"/>
        <rFont val="標楷體"/>
        <family val="4"/>
        <charset val="136"/>
      </rPr>
      <t>積</t>
    </r>
    <r>
      <rPr>
        <sz val="12"/>
        <rFont val="Times New Roman"/>
        <family val="1"/>
      </rPr>
      <t xml:space="preserve"> </t>
    </r>
    <r>
      <rPr>
        <sz val="12"/>
        <rFont val="標楷體"/>
        <family val="4"/>
        <charset val="136"/>
      </rPr>
      <t>折</t>
    </r>
    <r>
      <rPr>
        <sz val="12"/>
        <rFont val="Times New Roman"/>
        <family val="1"/>
      </rPr>
      <t xml:space="preserve"> </t>
    </r>
    <r>
      <rPr>
        <sz val="12"/>
        <rFont val="標楷體"/>
        <family val="4"/>
        <charset val="136"/>
      </rPr>
      <t>舊</t>
    </r>
    <r>
      <rPr>
        <sz val="12"/>
        <rFont val="Times New Roman"/>
        <family val="1"/>
      </rPr>
      <t xml:space="preserve"> </t>
    </r>
    <r>
      <rPr>
        <sz val="12"/>
        <rFont val="標楷體"/>
        <family val="4"/>
        <charset val="136"/>
      </rPr>
      <t>額</t>
    </r>
    <r>
      <rPr>
        <sz val="12"/>
        <rFont val="Times New Roman"/>
        <family val="1"/>
      </rPr>
      <t xml:space="preserve"> </t>
    </r>
    <phoneticPr fontId="3" type="noConversion"/>
  </si>
  <si>
    <r>
      <t>地上□無建築改良物</t>
    </r>
    <r>
      <rPr>
        <sz val="12"/>
        <color indexed="12"/>
        <rFont val="Times New Roman"/>
        <family val="1"/>
      </rPr>
      <t xml:space="preserve">  </t>
    </r>
    <r>
      <rPr>
        <sz val="12"/>
        <color indexed="12"/>
        <rFont val="標楷體"/>
        <family val="4"/>
        <charset val="136"/>
      </rPr>
      <t>■有建築改良物</t>
    </r>
    <r>
      <rPr>
        <sz val="12"/>
        <color indexed="12"/>
        <rFont val="Times New Roman"/>
        <family val="1"/>
      </rPr>
      <t>(</t>
    </r>
    <r>
      <rPr>
        <sz val="12"/>
        <color indexed="12"/>
        <rFont val="標楷體"/>
        <family val="4"/>
        <charset val="136"/>
      </rPr>
      <t>□區分所有建物■全部層數</t>
    </r>
    <r>
      <rPr>
        <sz val="12"/>
        <color indexed="12"/>
        <rFont val="Times New Roman"/>
        <family val="1"/>
      </rPr>
      <t>)</t>
    </r>
    <phoneticPr fontId="3" type="noConversion"/>
  </si>
  <si>
    <r>
      <t>實例建物成本價格</t>
    </r>
    <r>
      <rPr>
        <sz val="12"/>
        <rFont val="Times New Roman"/>
        <family val="1"/>
      </rPr>
      <t>(</t>
    </r>
    <r>
      <rPr>
        <sz val="12"/>
        <rFont val="標楷體"/>
        <family val="4"/>
        <charset val="136"/>
      </rPr>
      <t>總價</t>
    </r>
    <r>
      <rPr>
        <sz val="12"/>
        <rFont val="Times New Roman"/>
        <family val="1"/>
      </rPr>
      <t>)(</t>
    </r>
    <r>
      <rPr>
        <sz val="12"/>
        <rFont val="標楷體"/>
        <family val="4"/>
        <charset val="136"/>
      </rPr>
      <t>不含車位</t>
    </r>
    <r>
      <rPr>
        <sz val="12"/>
        <rFont val="Times New Roman"/>
        <family val="1"/>
      </rPr>
      <t>)</t>
    </r>
  </si>
  <si>
    <t>備註欄</t>
    <phoneticPr fontId="3" type="noConversion"/>
  </si>
  <si>
    <r>
      <t>1.</t>
    </r>
    <r>
      <rPr>
        <sz val="12"/>
        <rFont val="標楷體"/>
        <family val="4"/>
        <charset val="136"/>
      </rPr>
      <t>本實例移轉樓層房價</t>
    </r>
    <r>
      <rPr>
        <sz val="12"/>
        <rFont val="Times New Roman"/>
        <family val="1"/>
      </rPr>
      <t>(</t>
    </r>
    <r>
      <rPr>
        <sz val="12"/>
        <rFont val="標楷體"/>
        <family val="4"/>
        <charset val="136"/>
      </rPr>
      <t>元</t>
    </r>
    <r>
      <rPr>
        <sz val="12"/>
        <rFont val="Times New Roman"/>
        <family val="1"/>
      </rPr>
      <t>/</t>
    </r>
    <r>
      <rPr>
        <sz val="12"/>
        <rFont val="標楷體"/>
        <family val="4"/>
        <charset val="136"/>
      </rPr>
      <t>坪</t>
    </r>
    <r>
      <rPr>
        <sz val="12"/>
        <rFont val="Times New Roman"/>
        <family val="1"/>
      </rPr>
      <t>)</t>
    </r>
    <r>
      <rPr>
        <sz val="12"/>
        <rFont val="標楷體"/>
        <family val="4"/>
        <charset val="136"/>
      </rPr>
      <t>：</t>
    </r>
  </si>
  <si>
    <r>
      <t>2.</t>
    </r>
    <r>
      <rPr>
        <sz val="12"/>
        <rFont val="標楷體"/>
        <family val="4"/>
        <charset val="136"/>
      </rPr>
      <t>本實例營造單價（元</t>
    </r>
    <r>
      <rPr>
        <sz val="12"/>
        <rFont val="Times New Roman"/>
        <family val="1"/>
      </rPr>
      <t>/</t>
    </r>
    <r>
      <rPr>
        <sz val="12"/>
        <rFont val="標楷體"/>
        <family val="4"/>
        <charset val="136"/>
      </rPr>
      <t>坪）：</t>
    </r>
  </si>
  <si>
    <t>照案通過</t>
    <phoneticPr fontId="3" type="noConversion"/>
  </si>
  <si>
    <r>
      <t>8</t>
    </r>
    <r>
      <rPr>
        <sz val="10"/>
        <color indexed="12"/>
        <rFont val="標楷體"/>
        <family val="4"/>
        <charset val="136"/>
      </rPr>
      <t>寬度</t>
    </r>
    <r>
      <rPr>
        <sz val="10"/>
        <color indexed="12"/>
        <rFont val="Times New Roman"/>
        <family val="1"/>
      </rPr>
      <t>(M)</t>
    </r>
    <phoneticPr fontId="3" type="noConversion"/>
  </si>
  <si>
    <r>
      <t>9</t>
    </r>
    <r>
      <rPr>
        <sz val="10"/>
        <color indexed="12"/>
        <rFont val="標楷體"/>
        <family val="4"/>
        <charset val="136"/>
      </rPr>
      <t>深度</t>
    </r>
    <r>
      <rPr>
        <sz val="10"/>
        <color indexed="12"/>
        <rFont val="Times New Roman"/>
        <family val="1"/>
      </rPr>
      <t>(M)</t>
    </r>
    <phoneticPr fontId="3" type="noConversion"/>
  </si>
  <si>
    <r>
      <t>11</t>
    </r>
    <r>
      <rPr>
        <sz val="10"/>
        <color indexed="12"/>
        <rFont val="標楷體"/>
        <family val="4"/>
        <charset val="136"/>
      </rPr>
      <t>臨街情形</t>
    </r>
    <phoneticPr fontId="3" type="noConversion"/>
  </si>
  <si>
    <r>
      <t>12</t>
    </r>
    <r>
      <rPr>
        <sz val="10"/>
        <color indexed="12"/>
        <rFont val="標楷體"/>
        <family val="4"/>
        <charset val="136"/>
      </rPr>
      <t>地勢</t>
    </r>
    <phoneticPr fontId="3" type="noConversion"/>
  </si>
  <si>
    <r>
      <t>13</t>
    </r>
    <r>
      <rPr>
        <sz val="10"/>
        <color indexed="12"/>
        <rFont val="標楷體"/>
        <family val="4"/>
        <charset val="136"/>
      </rPr>
      <t>道路種類</t>
    </r>
    <phoneticPr fontId="3" type="noConversion"/>
  </si>
  <si>
    <r>
      <t>14</t>
    </r>
    <r>
      <rPr>
        <sz val="10"/>
        <color indexed="12"/>
        <rFont val="標楷體"/>
        <family val="4"/>
        <charset val="136"/>
      </rPr>
      <t>面前道路寬度</t>
    </r>
    <phoneticPr fontId="3" type="noConversion"/>
  </si>
  <si>
    <r>
      <t>15</t>
    </r>
    <r>
      <rPr>
        <sz val="10"/>
        <color indexed="12"/>
        <rFont val="標楷體"/>
        <family val="4"/>
        <charset val="136"/>
      </rPr>
      <t>接近學校之程度</t>
    </r>
    <phoneticPr fontId="3" type="noConversion"/>
  </si>
  <si>
    <r>
      <t>16</t>
    </r>
    <r>
      <rPr>
        <sz val="10"/>
        <color indexed="12"/>
        <rFont val="標楷體"/>
        <family val="4"/>
        <charset val="136"/>
      </rPr>
      <t>接近市場之程度</t>
    </r>
    <phoneticPr fontId="3" type="noConversion"/>
  </si>
  <si>
    <r>
      <t>17</t>
    </r>
    <r>
      <rPr>
        <sz val="10"/>
        <color indexed="12"/>
        <rFont val="標楷體"/>
        <family val="4"/>
        <charset val="136"/>
      </rPr>
      <t>接近公園、廣場之程度</t>
    </r>
    <phoneticPr fontId="3" type="noConversion"/>
  </si>
  <si>
    <r>
      <t>18</t>
    </r>
    <r>
      <rPr>
        <sz val="10"/>
        <color indexed="12"/>
        <rFont val="標楷體"/>
        <family val="4"/>
        <charset val="136"/>
      </rPr>
      <t>接近車站之程度</t>
    </r>
    <phoneticPr fontId="3" type="noConversion"/>
  </si>
  <si>
    <r>
      <t>19</t>
    </r>
    <r>
      <rPr>
        <sz val="10"/>
        <color indexed="12"/>
        <rFont val="標楷體"/>
        <family val="4"/>
        <charset val="136"/>
      </rPr>
      <t>接近商圈之程度</t>
    </r>
    <phoneticPr fontId="3" type="noConversion"/>
  </si>
  <si>
    <r>
      <t>20</t>
    </r>
    <r>
      <rPr>
        <sz val="10"/>
        <color indexed="12"/>
        <rFont val="標楷體"/>
        <family val="4"/>
        <charset val="136"/>
      </rPr>
      <t>嫌惡設施</t>
    </r>
    <r>
      <rPr>
        <sz val="10"/>
        <color indexed="12"/>
        <rFont val="Times New Roman"/>
        <family val="1"/>
      </rPr>
      <t>(</t>
    </r>
    <r>
      <rPr>
        <sz val="10"/>
        <color indexed="12"/>
        <rFont val="標楷體"/>
        <family val="4"/>
        <charset val="136"/>
      </rPr>
      <t>類型</t>
    </r>
    <r>
      <rPr>
        <sz val="10"/>
        <color indexed="12"/>
        <rFont val="Times New Roman"/>
        <family val="1"/>
      </rPr>
      <t>)</t>
    </r>
    <phoneticPr fontId="3" type="noConversion"/>
  </si>
  <si>
    <r>
      <t>21</t>
    </r>
    <r>
      <rPr>
        <sz val="10"/>
        <color indexed="12"/>
        <rFont val="標楷體"/>
        <family val="4"/>
        <charset val="136"/>
      </rPr>
      <t>停車方便性</t>
    </r>
    <phoneticPr fontId="3" type="noConversion"/>
  </si>
  <si>
    <r>
      <t>22</t>
    </r>
    <r>
      <rPr>
        <sz val="10"/>
        <color indexed="12"/>
        <rFont val="標楷體"/>
        <family val="4"/>
        <charset val="136"/>
      </rPr>
      <t>使用分區或編定用地</t>
    </r>
    <phoneticPr fontId="3" type="noConversion"/>
  </si>
  <si>
    <r>
      <t>23</t>
    </r>
    <r>
      <rPr>
        <sz val="10"/>
        <color indexed="12"/>
        <rFont val="標楷體"/>
        <family val="4"/>
        <charset val="136"/>
      </rPr>
      <t>建蔽率</t>
    </r>
    <r>
      <rPr>
        <sz val="10"/>
        <color indexed="12"/>
        <rFont val="Times New Roman"/>
        <family val="1"/>
      </rPr>
      <t>(%)</t>
    </r>
    <phoneticPr fontId="3" type="noConversion"/>
  </si>
  <si>
    <r>
      <t>24</t>
    </r>
    <r>
      <rPr>
        <sz val="10"/>
        <color indexed="12"/>
        <rFont val="標楷體"/>
        <family val="4"/>
        <charset val="136"/>
      </rPr>
      <t>容積率</t>
    </r>
    <r>
      <rPr>
        <sz val="10"/>
        <color indexed="12"/>
        <rFont val="Times New Roman"/>
        <family val="1"/>
      </rPr>
      <t>(%)</t>
    </r>
    <phoneticPr fontId="3" type="noConversion"/>
  </si>
  <si>
    <r>
      <t>25</t>
    </r>
    <r>
      <rPr>
        <sz val="10"/>
        <color indexed="12"/>
        <rFont val="標楷體"/>
        <family val="4"/>
        <charset val="136"/>
      </rPr>
      <t>有無禁限建</t>
    </r>
    <phoneticPr fontId="3" type="noConversion"/>
  </si>
  <si>
    <t>○○鄉鎮市區○○段○○小段35地號</t>
    <phoneticPr fontId="3" type="noConversion"/>
  </si>
  <si>
    <t>○○鄉鎮市區○○段○○小段30地號</t>
    <phoneticPr fontId="3" type="noConversion"/>
  </si>
  <si>
    <t>○○鄉鎮市區○○段○○小段31等地號</t>
    <phoneticPr fontId="3" type="noConversion"/>
  </si>
  <si>
    <t>○○鄉鎮市區○○段○○小段32地號</t>
    <phoneticPr fontId="3" type="noConversion"/>
  </si>
  <si>
    <t>○○鄉鎮市區○○段○○小段33地號</t>
    <phoneticPr fontId="3" type="noConversion"/>
  </si>
  <si>
    <t>○○鄉鎮市區○○段○○小段34地號</t>
    <phoneticPr fontId="3" type="noConversion"/>
  </si>
  <si>
    <t>M</t>
    <phoneticPr fontId="3" type="noConversion"/>
  </si>
  <si>
    <t>範圍說明</t>
    <phoneticPr fontId="3" type="noConversion"/>
  </si>
  <si>
    <r>
      <t>擬評變動幅度</t>
    </r>
    <r>
      <rPr>
        <sz val="11"/>
        <rFont val="Times New Roman"/>
        <family val="1"/>
      </rPr>
      <t>(%)</t>
    </r>
    <phoneticPr fontId="3" type="noConversion"/>
  </si>
  <si>
    <t>範圍說明：</t>
    <phoneticPr fontId="3" type="noConversion"/>
  </si>
  <si>
    <t>序號</t>
    <phoneticPr fontId="3" type="noConversion"/>
  </si>
  <si>
    <r>
      <t>百分位數</t>
    </r>
    <r>
      <rPr>
        <sz val="11"/>
        <rFont val="Times New Roman"/>
        <family val="1"/>
      </rPr>
      <t>25~75</t>
    </r>
    <r>
      <rPr>
        <sz val="11"/>
        <rFont val="標楷體"/>
        <family val="4"/>
        <charset val="136"/>
      </rPr>
      <t>間市價</t>
    </r>
    <phoneticPr fontId="3" type="noConversion"/>
  </si>
  <si>
    <t>實例數</t>
    <phoneticPr fontId="3" type="noConversion"/>
  </si>
  <si>
    <t>期別</t>
    <phoneticPr fontId="3" type="noConversion"/>
  </si>
  <si>
    <r>
      <t>第</t>
    </r>
    <r>
      <rPr>
        <sz val="11"/>
        <rFont val="Times New Roman"/>
        <family val="1"/>
      </rPr>
      <t>25</t>
    </r>
    <r>
      <rPr>
        <sz val="11"/>
        <rFont val="標楷體"/>
        <family val="4"/>
        <charset val="136"/>
      </rPr>
      <t>分位</t>
    </r>
    <phoneticPr fontId="3" type="noConversion"/>
  </si>
  <si>
    <r>
      <t>第</t>
    </r>
    <r>
      <rPr>
        <sz val="11"/>
        <rFont val="Times New Roman"/>
        <family val="1"/>
      </rPr>
      <t>75</t>
    </r>
    <r>
      <rPr>
        <sz val="11"/>
        <rFont val="標楷體"/>
        <family val="4"/>
        <charset val="136"/>
      </rPr>
      <t>分位</t>
    </r>
    <phoneticPr fontId="3" type="noConversion"/>
  </si>
  <si>
    <r>
      <t>面積</t>
    </r>
    <r>
      <rPr>
        <sz val="12"/>
        <rFont val="Times New Roman"/>
        <family val="1"/>
      </rPr>
      <t xml:space="preserve">        </t>
    </r>
    <r>
      <rPr>
        <sz val="12"/>
        <rFont val="標楷體"/>
        <family val="4"/>
        <charset val="136"/>
      </rPr>
      <t>（</t>
    </r>
    <r>
      <rPr>
        <sz val="12"/>
        <rFont val="Times New Roman"/>
        <family val="1"/>
      </rPr>
      <t>M</t>
    </r>
    <r>
      <rPr>
        <vertAlign val="superscript"/>
        <sz val="12"/>
        <rFont val="Times New Roman"/>
        <family val="1"/>
      </rPr>
      <t>2</t>
    </r>
    <r>
      <rPr>
        <sz val="12"/>
        <rFont val="標楷體"/>
        <family val="4"/>
        <charset val="136"/>
      </rPr>
      <t>）</t>
    </r>
    <phoneticPr fontId="3" type="noConversion"/>
  </si>
  <si>
    <r>
      <t>(</t>
    </r>
    <r>
      <rPr>
        <sz val="10"/>
        <rFont val="標楷體"/>
        <family val="4"/>
        <charset val="136"/>
      </rPr>
      <t>元</t>
    </r>
    <r>
      <rPr>
        <sz val="10"/>
        <rFont val="Times New Roman"/>
        <family val="1"/>
      </rPr>
      <t>/M</t>
    </r>
    <r>
      <rPr>
        <vertAlign val="superscript"/>
        <sz val="10"/>
        <rFont val="Times New Roman"/>
        <family val="1"/>
      </rPr>
      <t>2</t>
    </r>
    <r>
      <rPr>
        <sz val="10"/>
        <rFont val="Times New Roman"/>
        <family val="1"/>
      </rPr>
      <t>)</t>
    </r>
    <phoneticPr fontId="3" type="noConversion"/>
  </si>
  <si>
    <r>
      <t>(</t>
    </r>
    <r>
      <rPr>
        <sz val="9"/>
        <rFont val="標楷體"/>
        <family val="4"/>
        <charset val="136"/>
      </rPr>
      <t>元</t>
    </r>
    <r>
      <rPr>
        <sz val="9"/>
        <rFont val="Times New Roman"/>
        <family val="1"/>
      </rPr>
      <t>/M</t>
    </r>
    <r>
      <rPr>
        <vertAlign val="superscript"/>
        <sz val="9"/>
        <rFont val="Times New Roman"/>
        <family val="1"/>
      </rPr>
      <t>2</t>
    </r>
    <r>
      <rPr>
        <sz val="9"/>
        <rFont val="Times New Roman"/>
        <family val="1"/>
      </rPr>
      <t>)</t>
    </r>
    <phoneticPr fontId="3" type="noConversion"/>
  </si>
  <si>
    <t>30</t>
    <phoneticPr fontId="3" type="noConversion"/>
  </si>
  <si>
    <r>
      <t>31</t>
    </r>
    <r>
      <rPr>
        <sz val="12"/>
        <rFont val="細明體"/>
        <family val="3"/>
        <charset val="136"/>
      </rPr>
      <t>等</t>
    </r>
    <phoneticPr fontId="3" type="noConversion"/>
  </si>
  <si>
    <t>合併評價單元、地勢低漥</t>
    <phoneticPr fontId="3" type="noConversion"/>
  </si>
  <si>
    <t>31</t>
    <phoneticPr fontId="3" type="noConversion"/>
  </si>
  <si>
    <t>31-1</t>
    <phoneticPr fontId="3" type="noConversion"/>
  </si>
  <si>
    <t>31-2</t>
    <phoneticPr fontId="3" type="noConversion"/>
  </si>
  <si>
    <t>31-3</t>
    <phoneticPr fontId="3" type="noConversion"/>
  </si>
  <si>
    <t>32</t>
    <phoneticPr fontId="3" type="noConversion"/>
  </si>
  <si>
    <t>林業用地、地勢高亢、形狀不規則、非臨街地</t>
    <phoneticPr fontId="3" type="noConversion"/>
  </si>
  <si>
    <t>33</t>
    <phoneticPr fontId="3" type="noConversion"/>
  </si>
  <si>
    <t>形狀不規則、非臨街地</t>
    <phoneticPr fontId="3" type="noConversion"/>
  </si>
  <si>
    <t>34</t>
    <phoneticPr fontId="3" type="noConversion"/>
  </si>
  <si>
    <t>比準地、農牧用地、方形、單面臨街、地勢平坦</t>
    <phoneticPr fontId="3" type="noConversion"/>
  </si>
  <si>
    <t>備註</t>
    <phoneticPr fontId="3" type="noConversion"/>
  </si>
  <si>
    <t>勘估標的基本資料</t>
    <phoneticPr fontId="3" type="noConversion"/>
  </si>
  <si>
    <r>
      <t xml:space="preserve"> </t>
    </r>
    <r>
      <rPr>
        <sz val="12"/>
        <rFont val="標楷體"/>
        <family val="4"/>
        <charset val="136"/>
      </rPr>
      <t>成</t>
    </r>
    <r>
      <rPr>
        <sz val="12"/>
        <rFont val="Times New Roman"/>
        <family val="1"/>
      </rPr>
      <t xml:space="preserve"> </t>
    </r>
    <r>
      <rPr>
        <sz val="12"/>
        <rFont val="標楷體"/>
        <family val="4"/>
        <charset val="136"/>
      </rPr>
      <t>本</t>
    </r>
    <r>
      <rPr>
        <sz val="12"/>
        <rFont val="Times New Roman"/>
        <family val="1"/>
      </rPr>
      <t xml:space="preserve"> </t>
    </r>
    <r>
      <rPr>
        <sz val="12"/>
        <rFont val="標楷體"/>
        <family val="4"/>
        <charset val="136"/>
      </rPr>
      <t>價</t>
    </r>
    <r>
      <rPr>
        <sz val="12"/>
        <rFont val="Times New Roman"/>
        <family val="1"/>
      </rPr>
      <t xml:space="preserve"> </t>
    </r>
    <r>
      <rPr>
        <sz val="12"/>
        <rFont val="標楷體"/>
        <family val="4"/>
        <charset val="136"/>
      </rPr>
      <t>格</t>
    </r>
    <r>
      <rPr>
        <sz val="12"/>
        <rFont val="Times New Roman"/>
        <family val="1"/>
      </rPr>
      <t xml:space="preserve"> </t>
    </r>
    <r>
      <rPr>
        <sz val="12"/>
        <rFont val="標楷體"/>
        <family val="4"/>
        <charset val="136"/>
      </rPr>
      <t>計</t>
    </r>
    <r>
      <rPr>
        <sz val="12"/>
        <rFont val="Times New Roman"/>
        <family val="1"/>
      </rPr>
      <t xml:space="preserve"> </t>
    </r>
    <r>
      <rPr>
        <sz val="12"/>
        <rFont val="標楷體"/>
        <family val="4"/>
        <charset val="136"/>
      </rPr>
      <t>算</t>
    </r>
    <phoneticPr fontId="3" type="noConversion"/>
  </si>
  <si>
    <t>勘估標的門牌</t>
    <phoneticPr fontId="3" type="noConversion"/>
  </si>
  <si>
    <t>○○市○○區○○路○○號○樓</t>
    <phoneticPr fontId="3" type="noConversion"/>
  </si>
  <si>
    <r>
      <t>營造施工費標準單價</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</si>
  <si>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t>調整單價率</t>
    <phoneticPr fontId="3" type="noConversion"/>
  </si>
  <si>
    <r>
      <t>1.</t>
    </r>
    <r>
      <rPr>
        <sz val="12"/>
        <rFont val="標楷體"/>
        <family val="4"/>
        <charset val="136"/>
      </rPr>
      <t>營造或施工費調整單價</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</si>
  <si>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t>總樓層數</t>
    <phoneticPr fontId="3" type="noConversion"/>
  </si>
  <si>
    <t>地上層數</t>
    <phoneticPr fontId="3" type="noConversion"/>
  </si>
  <si>
    <t>登記面積</t>
    <phoneticPr fontId="3" type="noConversion"/>
  </si>
  <si>
    <r>
      <t>M</t>
    </r>
    <r>
      <rPr>
        <vertAlign val="superscript"/>
        <sz val="12"/>
        <rFont val="Times New Roman"/>
        <family val="1"/>
      </rPr>
      <t>2</t>
    </r>
    <phoneticPr fontId="3" type="noConversion"/>
  </si>
  <si>
    <r>
      <t>2.</t>
    </r>
    <r>
      <rPr>
        <sz val="12"/>
        <rFont val="標楷體"/>
        <family val="4"/>
        <charset val="136"/>
      </rPr>
      <t>規劃設計費</t>
    </r>
    <phoneticPr fontId="3" type="noConversion"/>
  </si>
  <si>
    <r>
      <t>:</t>
    </r>
    <r>
      <rPr>
        <sz val="12"/>
        <color indexed="12"/>
        <rFont val="標楷體"/>
        <family val="4"/>
        <charset val="136"/>
      </rPr>
      <t>為營造施工費之</t>
    </r>
    <phoneticPr fontId="3" type="noConversion"/>
  </si>
  <si>
    <t>地下層數</t>
    <phoneticPr fontId="3" type="noConversion"/>
  </si>
  <si>
    <r>
      <t>標的計算面積</t>
    </r>
    <r>
      <rPr>
        <sz val="10"/>
        <rFont val="Times New Roman"/>
        <family val="1"/>
      </rPr>
      <t>(</t>
    </r>
    <r>
      <rPr>
        <sz val="10"/>
        <rFont val="標楷體"/>
        <family val="4"/>
        <charset val="136"/>
      </rPr>
      <t>扣除車位</t>
    </r>
    <r>
      <rPr>
        <sz val="10"/>
        <rFont val="Times New Roman"/>
        <family val="1"/>
      </rPr>
      <t>)</t>
    </r>
    <phoneticPr fontId="3" type="noConversion"/>
  </si>
  <si>
    <r>
      <t>M</t>
    </r>
    <r>
      <rPr>
        <vertAlign val="superscript"/>
        <sz val="12"/>
        <rFont val="Times New Roman"/>
        <family val="1"/>
      </rPr>
      <t>2</t>
    </r>
    <phoneticPr fontId="3" type="noConversion"/>
  </si>
  <si>
    <r>
      <t>累計投入額</t>
    </r>
    <r>
      <rPr>
        <sz val="12"/>
        <color indexed="12"/>
        <rFont val="Times New Roman"/>
        <family val="1"/>
      </rPr>
      <t>(1)</t>
    </r>
    <phoneticPr fontId="3" type="noConversion"/>
  </si>
  <si>
    <t>移轉樓層</t>
    <phoneticPr fontId="3" type="noConversion"/>
  </si>
  <si>
    <t>地上第</t>
    <phoneticPr fontId="3" type="noConversion"/>
  </si>
  <si>
    <t>建築工期</t>
    <phoneticPr fontId="3" type="noConversion"/>
  </si>
  <si>
    <t>年</t>
    <phoneticPr fontId="3" type="noConversion"/>
  </si>
  <si>
    <r>
      <t>3.</t>
    </r>
    <r>
      <rPr>
        <sz val="12"/>
        <rFont val="標楷體"/>
        <family val="4"/>
        <charset val="136"/>
      </rPr>
      <t>廣告費銷售費</t>
    </r>
    <phoneticPr fontId="3" type="noConversion"/>
  </si>
  <si>
    <r>
      <t>:</t>
    </r>
    <r>
      <rPr>
        <sz val="12"/>
        <color indexed="12"/>
        <rFont val="標楷體"/>
        <family val="4"/>
        <charset val="136"/>
      </rPr>
      <t>勘估標的總成本之</t>
    </r>
    <phoneticPr fontId="3" type="noConversion"/>
  </si>
  <si>
    <t>資本利息綜合利率計算</t>
    <phoneticPr fontId="3" type="noConversion"/>
  </si>
  <si>
    <r>
      <t>4.</t>
    </r>
    <r>
      <rPr>
        <sz val="12"/>
        <rFont val="標楷體"/>
        <family val="4"/>
        <charset val="136"/>
      </rPr>
      <t>管理費</t>
    </r>
    <phoneticPr fontId="3" type="noConversion"/>
  </si>
  <si>
    <r>
      <t>:</t>
    </r>
    <r>
      <rPr>
        <sz val="12"/>
        <color indexed="12"/>
        <rFont val="標楷體"/>
        <family val="4"/>
        <charset val="136"/>
      </rPr>
      <t>勘估標的總成本之</t>
    </r>
    <phoneticPr fontId="3" type="noConversion"/>
  </si>
  <si>
    <r>
      <t>5.</t>
    </r>
    <r>
      <rPr>
        <sz val="11"/>
        <rFont val="標楷體"/>
        <family val="4"/>
        <charset val="136"/>
      </rPr>
      <t>稅捐及其他負擔</t>
    </r>
    <phoneticPr fontId="3" type="noConversion"/>
  </si>
  <si>
    <t>累計投入額</t>
    <phoneticPr fontId="3" type="noConversion"/>
  </si>
  <si>
    <r>
      <t>6.</t>
    </r>
    <r>
      <rPr>
        <sz val="12"/>
        <rFont val="標楷體"/>
        <family val="4"/>
        <charset val="136"/>
      </rPr>
      <t>資本利息</t>
    </r>
    <phoneticPr fontId="3" type="noConversion"/>
  </si>
  <si>
    <r>
      <t>:</t>
    </r>
    <r>
      <rPr>
        <sz val="12"/>
        <color indexed="12"/>
        <rFont val="標楷體"/>
        <family val="4"/>
        <charset val="136"/>
      </rPr>
      <t>為累計投入額之</t>
    </r>
    <phoneticPr fontId="3" type="noConversion"/>
  </si>
  <si>
    <t>分期投入資本數額及年數調整</t>
    <phoneticPr fontId="3" type="noConversion"/>
  </si>
  <si>
    <r>
      <t>7.</t>
    </r>
    <r>
      <rPr>
        <sz val="12"/>
        <rFont val="標楷體"/>
        <family val="4"/>
        <charset val="136"/>
      </rPr>
      <t>開發或建築利潤</t>
    </r>
    <phoneticPr fontId="3" type="noConversion"/>
  </si>
  <si>
    <r>
      <t>累</t>
    </r>
    <r>
      <rPr>
        <sz val="12"/>
        <rFont val="Times New Roman"/>
        <family val="1"/>
      </rPr>
      <t xml:space="preserve"> </t>
    </r>
    <r>
      <rPr>
        <sz val="12"/>
        <rFont val="標楷體"/>
        <family val="4"/>
        <charset val="136"/>
      </rPr>
      <t>積</t>
    </r>
    <r>
      <rPr>
        <sz val="12"/>
        <rFont val="Times New Roman"/>
        <family val="1"/>
      </rPr>
      <t xml:space="preserve"> </t>
    </r>
    <r>
      <rPr>
        <sz val="12"/>
        <rFont val="標楷體"/>
        <family val="4"/>
        <charset val="136"/>
      </rPr>
      <t>折</t>
    </r>
    <r>
      <rPr>
        <sz val="12"/>
        <rFont val="Times New Roman"/>
        <family val="1"/>
      </rPr>
      <t xml:space="preserve"> </t>
    </r>
    <r>
      <rPr>
        <sz val="12"/>
        <rFont val="標楷體"/>
        <family val="4"/>
        <charset val="136"/>
      </rPr>
      <t>舊</t>
    </r>
    <r>
      <rPr>
        <sz val="12"/>
        <rFont val="Times New Roman"/>
        <family val="1"/>
      </rPr>
      <t xml:space="preserve"> </t>
    </r>
    <r>
      <rPr>
        <sz val="12"/>
        <rFont val="標楷體"/>
        <family val="4"/>
        <charset val="136"/>
      </rPr>
      <t>額</t>
    </r>
    <r>
      <rPr>
        <sz val="12"/>
        <rFont val="Times New Roman"/>
        <family val="1"/>
      </rPr>
      <t xml:space="preserve"> (</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</si>
  <si>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r>
      <t>標的重建成本</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</si>
  <si>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t>建築完成年月</t>
    <phoneticPr fontId="3" type="noConversion"/>
  </si>
  <si>
    <t>已經歷年數</t>
    <phoneticPr fontId="3" type="noConversion"/>
  </si>
  <si>
    <t>剩餘耐用年數</t>
    <phoneticPr fontId="3" type="noConversion"/>
  </si>
  <si>
    <t>總耐用年數</t>
    <phoneticPr fontId="3" type="noConversion"/>
  </si>
  <si>
    <t>/</t>
    <phoneticPr fontId="3" type="noConversion"/>
  </si>
  <si>
    <r>
      <t>勘估標的建物成本價格</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</si>
  <si>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t>定額法</t>
    <phoneticPr fontId="3" type="noConversion"/>
  </si>
  <si>
    <t>殘餘價格率</t>
    <phoneticPr fontId="3" type="noConversion"/>
  </si>
  <si>
    <r>
      <t>計</t>
    </r>
    <r>
      <rPr>
        <sz val="12"/>
        <rFont val="Times New Roman"/>
        <family val="1"/>
      </rPr>
      <t xml:space="preserve"> </t>
    </r>
    <r>
      <rPr>
        <sz val="12"/>
        <rFont val="標楷體"/>
        <family val="4"/>
        <charset val="136"/>
      </rPr>
      <t>算</t>
    </r>
    <r>
      <rPr>
        <sz val="12"/>
        <rFont val="Times New Roman"/>
        <family val="1"/>
      </rPr>
      <t xml:space="preserve"> </t>
    </r>
    <r>
      <rPr>
        <sz val="12"/>
        <rFont val="標楷體"/>
        <family val="4"/>
        <charset val="136"/>
      </rPr>
      <t>式</t>
    </r>
    <phoneticPr fontId="3" type="noConversion"/>
  </si>
  <si>
    <r>
      <t>標的建物成本價格</t>
    </r>
    <r>
      <rPr>
        <sz val="12"/>
        <rFont val="Times New Roman"/>
        <family val="1"/>
      </rPr>
      <t>(</t>
    </r>
    <r>
      <rPr>
        <sz val="12"/>
        <rFont val="標楷體"/>
        <family val="4"/>
        <charset val="136"/>
      </rPr>
      <t>總價</t>
    </r>
    <r>
      <rPr>
        <sz val="12"/>
        <rFont val="Times New Roman"/>
        <family val="1"/>
      </rPr>
      <t>)(</t>
    </r>
    <r>
      <rPr>
        <sz val="12"/>
        <rFont val="標楷體"/>
        <family val="4"/>
        <charset val="136"/>
      </rPr>
      <t>不含車位</t>
    </r>
    <r>
      <rPr>
        <sz val="12"/>
        <rFont val="Times New Roman"/>
        <family val="1"/>
      </rPr>
      <t>)</t>
    </r>
  </si>
  <si>
    <r>
      <t>1.</t>
    </r>
    <r>
      <rPr>
        <sz val="12"/>
        <rFont val="標楷體"/>
        <family val="4"/>
        <charset val="136"/>
      </rPr>
      <t>標的移轉樓層平均房價</t>
    </r>
    <r>
      <rPr>
        <sz val="12"/>
        <rFont val="Times New Roman"/>
        <family val="1"/>
      </rPr>
      <t>(</t>
    </r>
    <r>
      <rPr>
        <sz val="12"/>
        <rFont val="標楷體"/>
        <family val="4"/>
        <charset val="136"/>
      </rPr>
      <t>元</t>
    </r>
    <r>
      <rPr>
        <sz val="12"/>
        <rFont val="Times New Roman"/>
        <family val="1"/>
      </rPr>
      <t>/</t>
    </r>
    <r>
      <rPr>
        <sz val="12"/>
        <rFont val="標楷體"/>
        <family val="4"/>
        <charset val="136"/>
      </rPr>
      <t>坪</t>
    </r>
    <r>
      <rPr>
        <sz val="12"/>
        <rFont val="Times New Roman"/>
        <family val="1"/>
      </rPr>
      <t>)</t>
    </r>
    <r>
      <rPr>
        <sz val="12"/>
        <rFont val="標楷體"/>
        <family val="4"/>
        <charset val="136"/>
      </rPr>
      <t>：</t>
    </r>
    <phoneticPr fontId="3" type="noConversion"/>
  </si>
  <si>
    <r>
      <t>2.</t>
    </r>
    <r>
      <rPr>
        <sz val="12"/>
        <rFont val="標楷體"/>
        <family val="4"/>
        <charset val="136"/>
      </rPr>
      <t>本標的營造單價（元</t>
    </r>
    <r>
      <rPr>
        <sz val="12"/>
        <rFont val="Times New Roman"/>
        <family val="1"/>
      </rPr>
      <t>/</t>
    </r>
    <r>
      <rPr>
        <sz val="12"/>
        <rFont val="標楷體"/>
        <family val="4"/>
        <charset val="136"/>
      </rPr>
      <t>坪）：</t>
    </r>
    <phoneticPr fontId="3" type="noConversion"/>
  </si>
  <si>
    <r>
      <t>填寫日期：</t>
    </r>
    <r>
      <rPr>
        <sz val="12"/>
        <color indexed="9"/>
        <rFont val="Times New Roman"/>
        <family val="1"/>
      </rPr>
      <t>100</t>
    </r>
    <r>
      <rPr>
        <sz val="12"/>
        <color indexed="9"/>
        <rFont val="標楷體"/>
        <family val="4"/>
        <charset val="136"/>
      </rPr>
      <t>年</t>
    </r>
    <r>
      <rPr>
        <sz val="12"/>
        <color indexed="9"/>
        <rFont val="Times New Roman"/>
        <family val="1"/>
      </rPr>
      <t>3</t>
    </r>
    <r>
      <rPr>
        <sz val="12"/>
        <color indexed="9"/>
        <rFont val="標楷體"/>
        <family val="4"/>
        <charset val="136"/>
      </rPr>
      <t>月</t>
    </r>
    <r>
      <rPr>
        <sz val="12"/>
        <color indexed="9"/>
        <rFont val="Times New Roman"/>
        <family val="1"/>
      </rPr>
      <t>31</t>
    </r>
    <r>
      <rPr>
        <sz val="12"/>
        <color indexed="9"/>
        <rFont val="標楷體"/>
        <family val="4"/>
        <charset val="136"/>
      </rPr>
      <t>日</t>
    </r>
    <r>
      <rPr>
        <sz val="12"/>
        <color indexed="9"/>
        <rFont val="Times New Roman"/>
        <family val="1"/>
      </rPr>
      <t xml:space="preserve">         </t>
    </r>
    <r>
      <rPr>
        <sz val="12"/>
        <color indexed="9"/>
        <rFont val="標楷體"/>
        <family val="4"/>
        <charset val="136"/>
      </rPr>
      <t>承辦員：　　</t>
    </r>
    <r>
      <rPr>
        <sz val="12"/>
        <color indexed="9"/>
        <rFont val="Times New Roman"/>
        <family val="1"/>
      </rPr>
      <t xml:space="preserve">           </t>
    </r>
    <r>
      <rPr>
        <sz val="12"/>
        <color indexed="9"/>
        <rFont val="標楷體"/>
        <family val="4"/>
        <charset val="136"/>
      </rPr>
      <t>　　課（股）長：　</t>
    </r>
    <r>
      <rPr>
        <sz val="12"/>
        <color indexed="9"/>
        <rFont val="Times New Roman"/>
        <family val="1"/>
      </rPr>
      <t xml:space="preserve">                </t>
    </r>
    <r>
      <rPr>
        <sz val="12"/>
        <color indexed="9"/>
        <rFont val="標楷體"/>
        <family val="4"/>
        <charset val="136"/>
      </rPr>
      <t>　</t>
    </r>
  </si>
  <si>
    <t>年期：</t>
    <phoneticPr fontId="3" type="noConversion"/>
  </si>
  <si>
    <t>-</t>
    <phoneticPr fontId="3" type="noConversion"/>
  </si>
  <si>
    <r>
      <t>:</t>
    </r>
    <r>
      <rPr>
        <sz val="12"/>
        <rFont val="標楷體"/>
        <family val="4"/>
        <charset val="136"/>
      </rPr>
      <t>為營造施工費之</t>
    </r>
    <phoneticPr fontId="3" type="noConversion"/>
  </si>
  <si>
    <t>地下層數</t>
    <phoneticPr fontId="3" type="noConversion"/>
  </si>
  <si>
    <r>
      <t>3.</t>
    </r>
    <r>
      <rPr>
        <sz val="12"/>
        <rFont val="標楷體"/>
        <family val="4"/>
        <charset val="136"/>
      </rPr>
      <t>廣告費銷售費</t>
    </r>
    <phoneticPr fontId="3" type="noConversion"/>
  </si>
  <si>
    <t>移轉樓層</t>
    <phoneticPr fontId="3" type="noConversion"/>
  </si>
  <si>
    <t>地上第</t>
    <phoneticPr fontId="3" type="noConversion"/>
  </si>
  <si>
    <t>建築工期</t>
    <phoneticPr fontId="3" type="noConversion"/>
  </si>
  <si>
    <t>年</t>
    <phoneticPr fontId="3" type="noConversion"/>
  </si>
  <si>
    <r>
      <t>4.</t>
    </r>
    <r>
      <rPr>
        <sz val="12"/>
        <rFont val="標楷體"/>
        <family val="4"/>
        <charset val="136"/>
      </rPr>
      <t>管理費</t>
    </r>
    <phoneticPr fontId="3" type="noConversion"/>
  </si>
  <si>
    <t>資本利息綜合利率計算</t>
    <phoneticPr fontId="3" type="noConversion"/>
  </si>
  <si>
    <r>
      <t>5.</t>
    </r>
    <r>
      <rPr>
        <sz val="11"/>
        <rFont val="標楷體"/>
        <family val="4"/>
        <charset val="136"/>
      </rPr>
      <t>稅捐及其他負擔</t>
    </r>
    <phoneticPr fontId="3" type="noConversion"/>
  </si>
  <si>
    <r>
      <t>6.</t>
    </r>
    <r>
      <rPr>
        <sz val="12"/>
        <rFont val="標楷體"/>
        <family val="4"/>
        <charset val="136"/>
      </rPr>
      <t>資本利息</t>
    </r>
    <phoneticPr fontId="3" type="noConversion"/>
  </si>
  <si>
    <r>
      <t>7.</t>
    </r>
    <r>
      <rPr>
        <sz val="12"/>
        <rFont val="標楷體"/>
        <family val="4"/>
        <charset val="136"/>
      </rPr>
      <t>開發或建築利潤</t>
    </r>
    <phoneticPr fontId="3" type="noConversion"/>
  </si>
  <si>
    <r>
      <t>:</t>
    </r>
    <r>
      <rPr>
        <sz val="12"/>
        <rFont val="標楷體"/>
        <family val="4"/>
        <charset val="136"/>
      </rPr>
      <t>為累計投入額之</t>
    </r>
    <phoneticPr fontId="3" type="noConversion"/>
  </si>
  <si>
    <r>
      <t>實例重建成本</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</si>
  <si>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r>
      <t>累</t>
    </r>
    <r>
      <rPr>
        <sz val="12"/>
        <rFont val="Times New Roman"/>
        <family val="1"/>
      </rPr>
      <t xml:space="preserve"> </t>
    </r>
    <r>
      <rPr>
        <sz val="12"/>
        <rFont val="標楷體"/>
        <family val="4"/>
        <charset val="136"/>
      </rPr>
      <t>積</t>
    </r>
    <r>
      <rPr>
        <sz val="12"/>
        <rFont val="Times New Roman"/>
        <family val="1"/>
      </rPr>
      <t xml:space="preserve"> </t>
    </r>
    <r>
      <rPr>
        <sz val="12"/>
        <rFont val="標楷體"/>
        <family val="4"/>
        <charset val="136"/>
      </rPr>
      <t>折</t>
    </r>
    <r>
      <rPr>
        <sz val="12"/>
        <rFont val="Times New Roman"/>
        <family val="1"/>
      </rPr>
      <t xml:space="preserve"> </t>
    </r>
    <r>
      <rPr>
        <sz val="12"/>
        <rFont val="標楷體"/>
        <family val="4"/>
        <charset val="136"/>
      </rPr>
      <t>舊</t>
    </r>
    <r>
      <rPr>
        <sz val="12"/>
        <rFont val="Times New Roman"/>
        <family val="1"/>
      </rPr>
      <t xml:space="preserve"> </t>
    </r>
    <r>
      <rPr>
        <sz val="12"/>
        <rFont val="標楷體"/>
        <family val="4"/>
        <charset val="136"/>
      </rPr>
      <t>額</t>
    </r>
    <r>
      <rPr>
        <sz val="12"/>
        <rFont val="Times New Roman"/>
        <family val="1"/>
      </rPr>
      <t/>
    </r>
    <phoneticPr fontId="3" type="noConversion"/>
  </si>
  <si>
    <r>
      <t>地上□無建築改良物</t>
    </r>
    <r>
      <rPr>
        <sz val="12"/>
        <color indexed="12"/>
        <rFont val="Times New Roman"/>
        <family val="1"/>
      </rPr>
      <t xml:space="preserve">  </t>
    </r>
    <r>
      <rPr>
        <sz val="12"/>
        <color indexed="12"/>
        <rFont val="標楷體"/>
        <family val="4"/>
        <charset val="136"/>
      </rPr>
      <t>■有建築改良物</t>
    </r>
    <r>
      <rPr>
        <sz val="12"/>
        <color indexed="12"/>
        <rFont val="Times New Roman"/>
        <family val="1"/>
      </rPr>
      <t>(</t>
    </r>
    <r>
      <rPr>
        <sz val="12"/>
        <color indexed="12"/>
        <rFont val="標楷體"/>
        <family val="4"/>
        <charset val="136"/>
      </rPr>
      <t>■區分所有建物□全部層數</t>
    </r>
    <r>
      <rPr>
        <sz val="12"/>
        <color indexed="12"/>
        <rFont val="Times New Roman"/>
        <family val="1"/>
      </rPr>
      <t>)</t>
    </r>
    <phoneticPr fontId="3" type="noConversion"/>
  </si>
  <si>
    <t>建築完成年月</t>
    <phoneticPr fontId="3" type="noConversion"/>
  </si>
  <si>
    <t>已經歷年數</t>
    <phoneticPr fontId="3" type="noConversion"/>
  </si>
  <si>
    <t>剩餘耐用年數</t>
    <phoneticPr fontId="3" type="noConversion"/>
  </si>
  <si>
    <t>總耐用年數</t>
    <phoneticPr fontId="3" type="noConversion"/>
  </si>
  <si>
    <r>
      <t>買賣實例總價格</t>
    </r>
    <r>
      <rPr>
        <sz val="12"/>
        <rFont val="Times New Roman"/>
        <family val="1"/>
      </rPr>
      <t>(</t>
    </r>
    <r>
      <rPr>
        <sz val="12"/>
        <rFont val="標楷體"/>
        <family val="4"/>
        <charset val="136"/>
      </rPr>
      <t>元</t>
    </r>
    <r>
      <rPr>
        <sz val="12"/>
        <rFont val="Times New Roman"/>
        <family val="1"/>
      </rPr>
      <t>)</t>
    </r>
    <phoneticPr fontId="3" type="noConversion"/>
  </si>
  <si>
    <t>/</t>
    <phoneticPr fontId="3" type="noConversion"/>
  </si>
  <si>
    <r>
      <t>正常買賣總價格</t>
    </r>
    <r>
      <rPr>
        <sz val="12"/>
        <rFont val="Times New Roman"/>
        <family val="1"/>
      </rPr>
      <t>(</t>
    </r>
    <r>
      <rPr>
        <sz val="12"/>
        <rFont val="標楷體"/>
        <family val="4"/>
        <charset val="136"/>
      </rPr>
      <t>元</t>
    </r>
    <r>
      <rPr>
        <sz val="12"/>
        <rFont val="Times New Roman"/>
        <family val="1"/>
      </rPr>
      <t>)(</t>
    </r>
    <r>
      <rPr>
        <sz val="12"/>
        <rFont val="標楷體"/>
        <family val="4"/>
        <charset val="136"/>
      </rPr>
      <t>即買賣實例房地價格</t>
    </r>
    <r>
      <rPr>
        <sz val="12"/>
        <rFont val="Times New Roman"/>
        <family val="1"/>
      </rPr>
      <t>)</t>
    </r>
    <phoneticPr fontId="3" type="noConversion"/>
  </si>
  <si>
    <t>定額法</t>
    <phoneticPr fontId="3" type="noConversion"/>
  </si>
  <si>
    <t>殘餘價格率</t>
    <phoneticPr fontId="3" type="noConversion"/>
  </si>
  <si>
    <r>
      <t>計</t>
    </r>
    <r>
      <rPr>
        <sz val="12"/>
        <rFont val="Times New Roman"/>
        <family val="1"/>
      </rPr>
      <t xml:space="preserve"> </t>
    </r>
    <r>
      <rPr>
        <sz val="12"/>
        <rFont val="標楷體"/>
        <family val="4"/>
        <charset val="136"/>
      </rPr>
      <t>算</t>
    </r>
    <r>
      <rPr>
        <sz val="12"/>
        <rFont val="Times New Roman"/>
        <family val="1"/>
      </rPr>
      <t xml:space="preserve"> </t>
    </r>
    <r>
      <rPr>
        <sz val="12"/>
        <rFont val="標楷體"/>
        <family val="4"/>
        <charset val="136"/>
      </rPr>
      <t>式</t>
    </r>
    <phoneticPr fontId="3" type="noConversion"/>
  </si>
  <si>
    <r>
      <t>重建成本</t>
    </r>
    <r>
      <rPr>
        <sz val="12"/>
        <rFont val="Times New Roman"/>
        <family val="1"/>
      </rPr>
      <t>× (1-</t>
    </r>
    <r>
      <rPr>
        <sz val="12"/>
        <rFont val="標楷體"/>
        <family val="4"/>
        <charset val="136"/>
      </rPr>
      <t>殘價率</t>
    </r>
    <r>
      <rPr>
        <sz val="12"/>
        <rFont val="Times New Roman"/>
        <family val="1"/>
      </rPr>
      <t>)÷</t>
    </r>
    <r>
      <rPr>
        <sz val="12"/>
        <rFont val="標楷體"/>
        <family val="4"/>
        <charset val="136"/>
      </rPr>
      <t>總耐用年數</t>
    </r>
    <r>
      <rPr>
        <sz val="12"/>
        <rFont val="Times New Roman"/>
        <family val="1"/>
      </rPr>
      <t>×</t>
    </r>
    <r>
      <rPr>
        <sz val="12"/>
        <rFont val="標楷體"/>
        <family val="4"/>
        <charset val="136"/>
      </rPr>
      <t>已經歷年數</t>
    </r>
    <phoneticPr fontId="3" type="noConversion"/>
  </si>
  <si>
    <r>
      <t>實例土地持分面積</t>
    </r>
    <r>
      <rPr>
        <sz val="12"/>
        <rFont val="Times New Roman"/>
        <family val="1"/>
      </rPr>
      <t>(M</t>
    </r>
    <r>
      <rPr>
        <vertAlign val="superscript"/>
        <sz val="12"/>
        <rFont val="Times New Roman"/>
        <family val="1"/>
      </rPr>
      <t>2</t>
    </r>
    <r>
      <rPr>
        <sz val="12"/>
        <rFont val="Times New Roman"/>
        <family val="1"/>
      </rPr>
      <t>)</t>
    </r>
    <phoneticPr fontId="3" type="noConversion"/>
  </si>
  <si>
    <r>
      <t>實例土地權利單價</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t>
    </r>
    <phoneticPr fontId="3" type="noConversion"/>
  </si>
  <si>
    <r>
      <t>累積折舊額</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</si>
  <si>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r>
      <t>土地正常買賣單價</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t>
    </r>
    <phoneticPr fontId="3" type="noConversion"/>
  </si>
  <si>
    <r>
      <t xml:space="preserve"> </t>
    </r>
    <r>
      <rPr>
        <sz val="12"/>
        <rFont val="標楷體"/>
        <family val="4"/>
        <charset val="136"/>
      </rPr>
      <t>第</t>
    </r>
    <r>
      <rPr>
        <sz val="12"/>
        <rFont val="Times New Roman"/>
        <family val="1"/>
      </rPr>
      <t>7</t>
    </r>
    <r>
      <rPr>
        <sz val="12"/>
        <rFont val="標楷體"/>
        <family val="4"/>
        <charset val="136"/>
      </rPr>
      <t>條、第</t>
    </r>
    <r>
      <rPr>
        <sz val="12"/>
        <rFont val="Times New Roman"/>
        <family val="1"/>
      </rPr>
      <t>8</t>
    </r>
    <r>
      <rPr>
        <sz val="12"/>
        <rFont val="標楷體"/>
        <family val="4"/>
        <charset val="136"/>
      </rPr>
      <t>條修正說明及修正數：</t>
    </r>
    <phoneticPr fontId="3" type="noConversion"/>
  </si>
  <si>
    <r>
      <t>買賣實例售價含車位</t>
    </r>
    <r>
      <rPr>
        <sz val="12"/>
        <color indexed="12"/>
        <rFont val="Times New Roman"/>
        <family val="1"/>
      </rPr>
      <t>(</t>
    </r>
    <r>
      <rPr>
        <sz val="12"/>
        <color indexed="12"/>
        <rFont val="標楷體"/>
        <family val="4"/>
        <charset val="136"/>
      </rPr>
      <t>元</t>
    </r>
    <r>
      <rPr>
        <sz val="12"/>
        <color indexed="12"/>
        <rFont val="Times New Roman"/>
        <family val="1"/>
      </rPr>
      <t>)</t>
    </r>
    <phoneticPr fontId="3" type="noConversion"/>
  </si>
  <si>
    <t>-</t>
    <phoneticPr fontId="3" type="noConversion"/>
  </si>
  <si>
    <t>基本資料</t>
    <phoneticPr fontId="3" type="noConversion"/>
  </si>
  <si>
    <r>
      <t xml:space="preserve"> </t>
    </r>
    <r>
      <rPr>
        <sz val="12"/>
        <rFont val="標楷體"/>
        <family val="4"/>
        <charset val="136"/>
      </rPr>
      <t>成</t>
    </r>
    <r>
      <rPr>
        <sz val="12"/>
        <rFont val="Times New Roman"/>
        <family val="1"/>
      </rPr>
      <t xml:space="preserve"> </t>
    </r>
    <r>
      <rPr>
        <sz val="12"/>
        <rFont val="標楷體"/>
        <family val="4"/>
        <charset val="136"/>
      </rPr>
      <t>本</t>
    </r>
    <r>
      <rPr>
        <sz val="12"/>
        <rFont val="Times New Roman"/>
        <family val="1"/>
      </rPr>
      <t xml:space="preserve"> </t>
    </r>
    <r>
      <rPr>
        <sz val="12"/>
        <rFont val="標楷體"/>
        <family val="4"/>
        <charset val="136"/>
      </rPr>
      <t>價</t>
    </r>
    <r>
      <rPr>
        <sz val="12"/>
        <rFont val="Times New Roman"/>
        <family val="1"/>
      </rPr>
      <t xml:space="preserve"> </t>
    </r>
    <r>
      <rPr>
        <sz val="12"/>
        <rFont val="標楷體"/>
        <family val="4"/>
        <charset val="136"/>
      </rPr>
      <t>格</t>
    </r>
    <r>
      <rPr>
        <sz val="12"/>
        <rFont val="Times New Roman"/>
        <family val="1"/>
      </rPr>
      <t xml:space="preserve"> </t>
    </r>
    <r>
      <rPr>
        <sz val="12"/>
        <rFont val="標楷體"/>
        <family val="4"/>
        <charset val="136"/>
      </rPr>
      <t>計</t>
    </r>
    <r>
      <rPr>
        <sz val="12"/>
        <rFont val="Times New Roman"/>
        <family val="1"/>
      </rPr>
      <t xml:space="preserve"> </t>
    </r>
    <r>
      <rPr>
        <sz val="12"/>
        <rFont val="標楷體"/>
        <family val="4"/>
        <charset val="136"/>
      </rPr>
      <t>算</t>
    </r>
    <phoneticPr fontId="3" type="noConversion"/>
  </si>
  <si>
    <t>全</t>
    <phoneticPr fontId="3" type="noConversion"/>
  </si>
  <si>
    <r>
      <t>5.</t>
    </r>
    <r>
      <rPr>
        <sz val="12"/>
        <rFont val="標楷體"/>
        <family val="4"/>
        <charset val="136"/>
      </rPr>
      <t>稅捐及其他負擔</t>
    </r>
    <phoneticPr fontId="3" type="noConversion"/>
  </si>
  <si>
    <r>
      <t>實例土地面積</t>
    </r>
    <r>
      <rPr>
        <sz val="12"/>
        <rFont val="Times New Roman"/>
        <family val="1"/>
      </rPr>
      <t>(M</t>
    </r>
    <r>
      <rPr>
        <vertAlign val="superscript"/>
        <sz val="12"/>
        <rFont val="Times New Roman"/>
        <family val="1"/>
      </rPr>
      <t>2</t>
    </r>
    <r>
      <rPr>
        <sz val="12"/>
        <rFont val="Times New Roman"/>
        <family val="1"/>
      </rPr>
      <t>)</t>
    </r>
    <phoneticPr fontId="3" type="noConversion"/>
  </si>
  <si>
    <t>○○市○○區○○段○○小段○○地號</t>
    <phoneticPr fontId="3" type="noConversion"/>
  </si>
  <si>
    <r>
      <t>:</t>
    </r>
    <r>
      <rPr>
        <sz val="12"/>
        <color indexed="9"/>
        <rFont val="標楷體"/>
        <family val="4"/>
        <charset val="136"/>
      </rPr>
      <t>為營造施工費之</t>
    </r>
    <phoneticPr fontId="3" type="noConversion"/>
  </si>
  <si>
    <t>地下層數</t>
    <phoneticPr fontId="3" type="noConversion"/>
  </si>
  <si>
    <r>
      <t>M</t>
    </r>
    <r>
      <rPr>
        <vertAlign val="superscript"/>
        <sz val="12"/>
        <rFont val="Times New Roman"/>
        <family val="1"/>
      </rPr>
      <t>2</t>
    </r>
    <phoneticPr fontId="3" type="noConversion"/>
  </si>
  <si>
    <r>
      <t>3.</t>
    </r>
    <r>
      <rPr>
        <sz val="12"/>
        <rFont val="標楷體"/>
        <family val="4"/>
        <charset val="136"/>
      </rPr>
      <t>廣告費銷售費</t>
    </r>
    <phoneticPr fontId="3" type="noConversion"/>
  </si>
  <si>
    <r>
      <t>5.</t>
    </r>
    <r>
      <rPr>
        <sz val="12"/>
        <rFont val="標楷體"/>
        <family val="4"/>
        <charset val="136"/>
      </rPr>
      <t>稅捐及其他負擔</t>
    </r>
    <phoneticPr fontId="3" type="noConversion"/>
  </si>
  <si>
    <r>
      <t>:</t>
    </r>
    <r>
      <rPr>
        <sz val="12"/>
        <color indexed="9"/>
        <rFont val="標楷體"/>
        <family val="4"/>
        <charset val="136"/>
      </rPr>
      <t>為累計投入額之</t>
    </r>
    <phoneticPr fontId="3" type="noConversion"/>
  </si>
  <si>
    <r>
      <t>實例重建成本</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</si>
  <si>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r>
      <t>累</t>
    </r>
    <r>
      <rPr>
        <sz val="12"/>
        <rFont val="Times New Roman"/>
        <family val="1"/>
      </rPr>
      <t xml:space="preserve"> </t>
    </r>
    <r>
      <rPr>
        <sz val="12"/>
        <rFont val="標楷體"/>
        <family val="4"/>
        <charset val="136"/>
      </rPr>
      <t>積</t>
    </r>
    <r>
      <rPr>
        <sz val="12"/>
        <rFont val="Times New Roman"/>
        <family val="1"/>
      </rPr>
      <t xml:space="preserve"> </t>
    </r>
    <r>
      <rPr>
        <sz val="12"/>
        <rFont val="標楷體"/>
        <family val="4"/>
        <charset val="136"/>
      </rPr>
      <t>折</t>
    </r>
    <r>
      <rPr>
        <sz val="12"/>
        <rFont val="Times New Roman"/>
        <family val="1"/>
      </rPr>
      <t xml:space="preserve"> </t>
    </r>
    <r>
      <rPr>
        <sz val="12"/>
        <rFont val="標楷體"/>
        <family val="4"/>
        <charset val="136"/>
      </rPr>
      <t>舊</t>
    </r>
    <r>
      <rPr>
        <sz val="12"/>
        <rFont val="Times New Roman"/>
        <family val="1"/>
      </rPr>
      <t xml:space="preserve"> </t>
    </r>
    <r>
      <rPr>
        <sz val="12"/>
        <rFont val="標楷體"/>
        <family val="4"/>
        <charset val="136"/>
      </rPr>
      <t>額</t>
    </r>
    <r>
      <rPr>
        <sz val="12"/>
        <rFont val="Times New Roman"/>
        <family val="1"/>
      </rPr>
      <t xml:space="preserve"> </t>
    </r>
    <r>
      <rPr>
        <sz val="12"/>
        <rFont val="標楷體"/>
        <family val="4"/>
        <charset val="136"/>
      </rPr>
      <t/>
    </r>
    <phoneticPr fontId="3" type="noConversion"/>
  </si>
  <si>
    <r>
      <t>地上■無建築改良物</t>
    </r>
    <r>
      <rPr>
        <sz val="12"/>
        <color indexed="12"/>
        <rFont val="Times New Roman"/>
        <family val="1"/>
      </rPr>
      <t xml:space="preserve">  </t>
    </r>
    <r>
      <rPr>
        <sz val="12"/>
        <color indexed="12"/>
        <rFont val="標楷體"/>
        <family val="4"/>
        <charset val="136"/>
      </rPr>
      <t>□有建築改良物</t>
    </r>
    <r>
      <rPr>
        <sz val="12"/>
        <color indexed="12"/>
        <rFont val="Times New Roman"/>
        <family val="1"/>
      </rPr>
      <t>(</t>
    </r>
    <r>
      <rPr>
        <sz val="12"/>
        <color indexed="12"/>
        <rFont val="標楷體"/>
        <family val="4"/>
        <charset val="136"/>
      </rPr>
      <t>□區分所有建物□全部層數</t>
    </r>
    <r>
      <rPr>
        <sz val="12"/>
        <color indexed="12"/>
        <rFont val="Times New Roman"/>
        <family val="1"/>
      </rPr>
      <t>)</t>
    </r>
    <phoneticPr fontId="3" type="noConversion"/>
  </si>
  <si>
    <r>
      <t>重建成本</t>
    </r>
    <r>
      <rPr>
        <sz val="12"/>
        <color indexed="9"/>
        <rFont val="Times New Roman"/>
        <family val="1"/>
      </rPr>
      <t>× (1-</t>
    </r>
    <r>
      <rPr>
        <sz val="12"/>
        <color indexed="9"/>
        <rFont val="標楷體"/>
        <family val="4"/>
        <charset val="136"/>
      </rPr>
      <t>殘價率</t>
    </r>
    <r>
      <rPr>
        <sz val="12"/>
        <color indexed="9"/>
        <rFont val="Times New Roman"/>
        <family val="1"/>
      </rPr>
      <t>)÷</t>
    </r>
    <r>
      <rPr>
        <sz val="12"/>
        <color indexed="9"/>
        <rFont val="標楷體"/>
        <family val="4"/>
        <charset val="136"/>
      </rPr>
      <t>總耐用年數</t>
    </r>
    <r>
      <rPr>
        <sz val="12"/>
        <color indexed="9"/>
        <rFont val="Times New Roman"/>
        <family val="1"/>
      </rPr>
      <t>×</t>
    </r>
    <r>
      <rPr>
        <sz val="12"/>
        <color indexed="9"/>
        <rFont val="標楷體"/>
        <family val="4"/>
        <charset val="136"/>
      </rPr>
      <t>已經歷年數</t>
    </r>
    <phoneticPr fontId="3" type="noConversion"/>
  </si>
  <si>
    <r>
      <t>土地面積</t>
    </r>
    <r>
      <rPr>
        <sz val="12"/>
        <rFont val="Times New Roman"/>
        <family val="1"/>
      </rPr>
      <t>(M</t>
    </r>
    <r>
      <rPr>
        <vertAlign val="superscript"/>
        <sz val="12"/>
        <rFont val="Times New Roman"/>
        <family val="1"/>
      </rPr>
      <t>2</t>
    </r>
    <r>
      <rPr>
        <sz val="12"/>
        <rFont val="Times New Roman"/>
        <family val="1"/>
      </rPr>
      <t>)</t>
    </r>
    <phoneticPr fontId="3" type="noConversion"/>
  </si>
  <si>
    <r>
      <t>案號</t>
    </r>
    <r>
      <rPr>
        <sz val="11"/>
        <rFont val="Times New Roman"/>
        <family val="1"/>
      </rPr>
      <t>:</t>
    </r>
    <phoneticPr fontId="3" type="noConversion"/>
  </si>
  <si>
    <r>
      <t>0</t>
    </r>
    <r>
      <rPr>
        <sz val="10"/>
        <rFont val="標楷體"/>
        <family val="4"/>
        <charset val="136"/>
      </rPr>
      <t>基本資料</t>
    </r>
    <phoneticPr fontId="3" type="noConversion"/>
  </si>
  <si>
    <t>宗地流水號</t>
    <phoneticPr fontId="3" type="noConversion"/>
  </si>
  <si>
    <t>鄉鎮市區</t>
    <phoneticPr fontId="3" type="noConversion"/>
  </si>
  <si>
    <t>○○</t>
    <phoneticPr fontId="3" type="noConversion"/>
  </si>
  <si>
    <t>段小段名稱</t>
    <phoneticPr fontId="3" type="noConversion"/>
  </si>
  <si>
    <t>○○段○○小段</t>
    <phoneticPr fontId="3" type="noConversion"/>
  </si>
  <si>
    <t>地號</t>
    <phoneticPr fontId="3" type="noConversion"/>
  </si>
  <si>
    <r>
      <t>31</t>
    </r>
    <r>
      <rPr>
        <sz val="10"/>
        <color indexed="12"/>
        <rFont val="細明體"/>
        <family val="3"/>
        <charset val="136"/>
      </rPr>
      <t>等</t>
    </r>
    <phoneticPr fontId="3" type="noConversion"/>
  </si>
  <si>
    <t>31-1</t>
    <phoneticPr fontId="3" type="noConversion"/>
  </si>
  <si>
    <t>31-2</t>
    <phoneticPr fontId="3" type="noConversion"/>
  </si>
  <si>
    <t>31-3</t>
    <phoneticPr fontId="3" type="noConversion"/>
  </si>
  <si>
    <t>32</t>
    <phoneticPr fontId="3" type="noConversion"/>
  </si>
  <si>
    <t>33</t>
    <phoneticPr fontId="3" type="noConversion"/>
  </si>
  <si>
    <t>34</t>
    <phoneticPr fontId="3" type="noConversion"/>
  </si>
  <si>
    <r>
      <t>1.</t>
    </r>
    <r>
      <rPr>
        <sz val="10"/>
        <rFont val="標楷體"/>
        <family val="4"/>
        <charset val="136"/>
      </rPr>
      <t>宗地條件</t>
    </r>
    <phoneticPr fontId="3" type="noConversion"/>
  </si>
  <si>
    <r>
      <t>面積</t>
    </r>
    <r>
      <rPr>
        <sz val="10"/>
        <rFont val="Times New Roman"/>
        <family val="1"/>
      </rPr>
      <t>(M</t>
    </r>
    <r>
      <rPr>
        <vertAlign val="superscript"/>
        <sz val="10"/>
        <rFont val="Times New Roman"/>
        <family val="1"/>
      </rPr>
      <t>2</t>
    </r>
    <r>
      <rPr>
        <sz val="10"/>
        <rFont val="Times New Roman"/>
        <family val="1"/>
      </rPr>
      <t>)</t>
    </r>
    <phoneticPr fontId="3" type="noConversion"/>
  </si>
  <si>
    <t>-</t>
    <phoneticPr fontId="3" type="noConversion"/>
  </si>
  <si>
    <r>
      <t>深度</t>
    </r>
    <r>
      <rPr>
        <sz val="10"/>
        <rFont val="Times New Roman"/>
        <family val="1"/>
      </rPr>
      <t>(M)</t>
    </r>
    <phoneticPr fontId="3" type="noConversion"/>
  </si>
  <si>
    <t>形狀</t>
    <phoneticPr fontId="3" type="noConversion"/>
  </si>
  <si>
    <t>方形</t>
    <phoneticPr fontId="3" type="noConversion"/>
  </si>
  <si>
    <t>不規則形</t>
    <phoneticPr fontId="3" type="noConversion"/>
  </si>
  <si>
    <t>臨街情形</t>
    <phoneticPr fontId="3" type="noConversion"/>
  </si>
  <si>
    <t>單面臨街</t>
    <phoneticPr fontId="3" type="noConversion"/>
  </si>
  <si>
    <t>非臨街地</t>
    <phoneticPr fontId="3" type="noConversion"/>
  </si>
  <si>
    <t>地勢</t>
    <phoneticPr fontId="3" type="noConversion"/>
  </si>
  <si>
    <t>平坦</t>
    <phoneticPr fontId="3" type="noConversion"/>
  </si>
  <si>
    <t>低窪</t>
    <phoneticPr fontId="3" type="noConversion"/>
  </si>
  <si>
    <t>高亢</t>
    <phoneticPr fontId="3" type="noConversion"/>
  </si>
  <si>
    <r>
      <t>2.</t>
    </r>
    <r>
      <rPr>
        <sz val="10"/>
        <rFont val="標楷體"/>
        <family val="4"/>
        <charset val="136"/>
      </rPr>
      <t>道路條件</t>
    </r>
    <phoneticPr fontId="3" type="noConversion"/>
  </si>
  <si>
    <t>道路種類</t>
    <phoneticPr fontId="3" type="noConversion"/>
  </si>
  <si>
    <t>農路</t>
    <phoneticPr fontId="3" type="noConversion"/>
  </si>
  <si>
    <t>面前道路寬度</t>
    <phoneticPr fontId="3" type="noConversion"/>
  </si>
  <si>
    <r>
      <t>3.</t>
    </r>
    <r>
      <rPr>
        <sz val="10"/>
        <rFont val="標楷體"/>
        <family val="4"/>
        <charset val="136"/>
      </rPr>
      <t>接近條件</t>
    </r>
    <phoneticPr fontId="3" type="noConversion"/>
  </si>
  <si>
    <t>學校名稱</t>
    <phoneticPr fontId="3" type="noConversion"/>
  </si>
  <si>
    <r>
      <t>接近學校之程度</t>
    </r>
    <r>
      <rPr>
        <sz val="10"/>
        <rFont val="Times New Roman"/>
        <family val="1"/>
      </rPr>
      <t>(M)</t>
    </r>
    <phoneticPr fontId="3" type="noConversion"/>
  </si>
  <si>
    <t>市場名稱</t>
    <phoneticPr fontId="3" type="noConversion"/>
  </si>
  <si>
    <r>
      <t>接近市場之程度</t>
    </r>
    <r>
      <rPr>
        <sz val="10"/>
        <rFont val="Times New Roman"/>
        <family val="1"/>
      </rPr>
      <t>(M)</t>
    </r>
    <phoneticPr fontId="3" type="noConversion"/>
  </si>
  <si>
    <t>公園、廣場名稱</t>
    <phoneticPr fontId="3" type="noConversion"/>
  </si>
  <si>
    <r>
      <t>接近公園、廣場之程度</t>
    </r>
    <r>
      <rPr>
        <sz val="10"/>
        <rFont val="Times New Roman"/>
        <family val="1"/>
      </rPr>
      <t>(M)</t>
    </r>
    <phoneticPr fontId="3" type="noConversion"/>
  </si>
  <si>
    <t>車站名稱</t>
    <phoneticPr fontId="3" type="noConversion"/>
  </si>
  <si>
    <r>
      <t>接近車站之程度</t>
    </r>
    <r>
      <rPr>
        <sz val="10"/>
        <rFont val="Times New Roman"/>
        <family val="1"/>
      </rPr>
      <t>(M)</t>
    </r>
    <phoneticPr fontId="3" type="noConversion"/>
  </si>
  <si>
    <t>商圈名稱</t>
    <phoneticPr fontId="3" type="noConversion"/>
  </si>
  <si>
    <r>
      <t>接近商圈之程度</t>
    </r>
    <r>
      <rPr>
        <sz val="10"/>
        <rFont val="Times New Roman"/>
        <family val="1"/>
      </rPr>
      <t>(M)</t>
    </r>
    <phoneticPr fontId="3" type="noConversion"/>
  </si>
  <si>
    <r>
      <t>4.</t>
    </r>
    <r>
      <rPr>
        <sz val="10"/>
        <rFont val="標楷體"/>
        <family val="4"/>
        <charset val="136"/>
      </rPr>
      <t>周邊環境條件</t>
    </r>
    <phoneticPr fontId="3" type="noConversion"/>
  </si>
  <si>
    <t>嫌惡設施名稱</t>
    <phoneticPr fontId="3" type="noConversion"/>
  </si>
  <si>
    <t>○○垃圾焚化場</t>
    <phoneticPr fontId="3" type="noConversion"/>
  </si>
  <si>
    <r>
      <t>接近嫌惡設施之程度（</t>
    </r>
    <r>
      <rPr>
        <sz val="10"/>
        <rFont val="Times New Roman"/>
        <family val="1"/>
      </rPr>
      <t>M</t>
    </r>
    <r>
      <rPr>
        <sz val="10"/>
        <rFont val="標楷體"/>
        <family val="4"/>
        <charset val="136"/>
      </rPr>
      <t>）</t>
    </r>
    <phoneticPr fontId="3" type="noConversion"/>
  </si>
  <si>
    <t>停車方便性</t>
    <phoneticPr fontId="3" type="noConversion"/>
  </si>
  <si>
    <r>
      <t>5.</t>
    </r>
    <r>
      <rPr>
        <sz val="10"/>
        <rFont val="標楷體"/>
        <family val="4"/>
        <charset val="136"/>
      </rPr>
      <t>行政條件</t>
    </r>
    <phoneticPr fontId="3" type="noConversion"/>
  </si>
  <si>
    <t>使用分區或編定用地</t>
    <phoneticPr fontId="3" type="noConversion"/>
  </si>
  <si>
    <t>農牧用地</t>
    <phoneticPr fontId="3" type="noConversion"/>
  </si>
  <si>
    <t>林業用地</t>
    <phoneticPr fontId="3" type="noConversion"/>
  </si>
  <si>
    <r>
      <t>建蔽率</t>
    </r>
    <r>
      <rPr>
        <sz val="10"/>
        <rFont val="Times New Roman"/>
        <family val="1"/>
      </rPr>
      <t>(%)</t>
    </r>
    <phoneticPr fontId="3" type="noConversion"/>
  </si>
  <si>
    <r>
      <t>容積率</t>
    </r>
    <r>
      <rPr>
        <sz val="10"/>
        <rFont val="Times New Roman"/>
        <family val="1"/>
      </rPr>
      <t>(%)</t>
    </r>
    <phoneticPr fontId="3" type="noConversion"/>
  </si>
  <si>
    <t>有無禁、限建</t>
    <phoneticPr fontId="3" type="noConversion"/>
  </si>
  <si>
    <t>無</t>
    <phoneticPr fontId="3" type="noConversion"/>
  </si>
  <si>
    <t>禁、限建情形</t>
    <phoneticPr fontId="3" type="noConversion"/>
  </si>
  <si>
    <r>
      <t>6.</t>
    </r>
    <r>
      <rPr>
        <sz val="10"/>
        <rFont val="標楷體"/>
        <family val="4"/>
        <charset val="136"/>
      </rPr>
      <t>其他</t>
    </r>
    <phoneticPr fontId="3" type="noConversion"/>
  </si>
  <si>
    <t>協議價購程序</t>
    <phoneticPr fontId="3" type="noConversion"/>
  </si>
  <si>
    <t>比準地</t>
  </si>
  <si>
    <t>優劣等級</t>
  </si>
  <si>
    <t>修正百分比</t>
  </si>
  <si>
    <t>都市計畫（內、外）</t>
  </si>
  <si>
    <t>建蔽率</t>
  </si>
  <si>
    <t>容積率</t>
  </si>
  <si>
    <t>有無禁止建築</t>
  </si>
  <si>
    <t>百分比小計</t>
  </si>
  <si>
    <t>主要道路寬度</t>
  </si>
  <si>
    <t>區段內道路平均寬度</t>
  </si>
  <si>
    <t>接近大型車站之程度</t>
  </si>
  <si>
    <t>交流道之有無及接近交流道之程度</t>
  </si>
  <si>
    <t>區段內道路規劃及闢建程度</t>
  </si>
  <si>
    <t>日照</t>
  </si>
  <si>
    <t>景觀</t>
  </si>
  <si>
    <t>傾斜度</t>
  </si>
  <si>
    <t>排水之良否</t>
  </si>
  <si>
    <t>地勢</t>
  </si>
  <si>
    <t>接近學校之程度（國小、國中、高中、大專院校）</t>
  </si>
  <si>
    <t>接近市場之程度（傳統市場、超級市場、超大型購物中心）</t>
  </si>
  <si>
    <t>接近公園（里鄰公園、一般公園）、廣場、徒步區之程度</t>
  </si>
  <si>
    <t>接近觀光遊憩設施之程度</t>
  </si>
  <si>
    <t>停車場地之便利程度</t>
  </si>
  <si>
    <t>接近服務性設施的程度（郵局、銀行、醫院、機關等設施）</t>
  </si>
  <si>
    <t>％</t>
    <phoneticPr fontId="3" type="noConversion"/>
  </si>
  <si>
    <t>％</t>
    <phoneticPr fontId="3" type="noConversion"/>
  </si>
  <si>
    <r>
      <t>土地使用管制</t>
    </r>
    <r>
      <rPr>
        <sz val="10"/>
        <rFont val="Times New Roman"/>
        <family val="1"/>
      </rPr>
      <t>(1)</t>
    </r>
  </si>
  <si>
    <r>
      <t>有無限制建築（整體開發、面積限制、高度限制</t>
    </r>
    <r>
      <rPr>
        <sz val="10"/>
        <rFont val="Times New Roman"/>
        <family val="1"/>
      </rPr>
      <t>……</t>
    </r>
    <r>
      <rPr>
        <sz val="10"/>
        <rFont val="標楷體"/>
        <family val="4"/>
        <charset val="136"/>
      </rPr>
      <t>等）</t>
    </r>
  </si>
  <si>
    <r>
      <t>交通運輸</t>
    </r>
    <r>
      <rPr>
        <sz val="10"/>
        <rFont val="Times New Roman"/>
        <family val="1"/>
      </rPr>
      <t>(2)</t>
    </r>
  </si>
  <si>
    <r>
      <t>自然條件</t>
    </r>
    <r>
      <rPr>
        <sz val="10"/>
        <rFont val="Times New Roman"/>
        <family val="1"/>
      </rPr>
      <t>(3)</t>
    </r>
  </si>
  <si>
    <r>
      <t>公共建設</t>
    </r>
    <r>
      <rPr>
        <sz val="10"/>
        <rFont val="Times New Roman"/>
        <family val="1"/>
      </rPr>
      <t>(5)</t>
    </r>
  </si>
  <si>
    <r>
      <t>比較標的</t>
    </r>
    <r>
      <rPr>
        <sz val="10"/>
        <rFont val="Times New Roman"/>
        <family val="1"/>
      </rPr>
      <t>1</t>
    </r>
  </si>
  <si>
    <t>主要項目</t>
    <phoneticPr fontId="3" type="noConversion"/>
  </si>
  <si>
    <t>修正細項</t>
    <phoneticPr fontId="3" type="noConversion"/>
  </si>
  <si>
    <t>實例編號</t>
    <phoneticPr fontId="3" type="noConversion"/>
  </si>
  <si>
    <r>
      <t>比較標的</t>
    </r>
    <r>
      <rPr>
        <sz val="10"/>
        <rFont val="Times New Roman"/>
        <family val="1"/>
      </rPr>
      <t>2</t>
    </r>
    <phoneticPr fontId="3" type="noConversion"/>
  </si>
  <si>
    <r>
      <t>比較標的</t>
    </r>
    <r>
      <rPr>
        <sz val="10"/>
        <rFont val="Times New Roman"/>
        <family val="1"/>
      </rPr>
      <t>3</t>
    </r>
    <phoneticPr fontId="3" type="noConversion"/>
  </si>
  <si>
    <t>百分比小計</t>
    <phoneticPr fontId="3" type="noConversion"/>
  </si>
  <si>
    <t>合併評價單元、地勢低漥</t>
    <phoneticPr fontId="3" type="noConversion"/>
  </si>
  <si>
    <t>林業用地、地勢高亢、形狀不規則、非臨街地</t>
    <phoneticPr fontId="3" type="noConversion"/>
  </si>
  <si>
    <t>比準地、農牧用地、方形、單面臨街、地勢平坦</t>
    <phoneticPr fontId="3" type="noConversion"/>
  </si>
  <si>
    <t>修正通過</t>
    <phoneticPr fontId="3" type="noConversion"/>
  </si>
  <si>
    <t>詳會議紀 　</t>
  </si>
  <si>
    <t>錄</t>
    <phoneticPr fontId="3" type="noConversion"/>
  </si>
  <si>
    <t>影響地價區域因素總修正數</t>
    <phoneticPr fontId="3" type="noConversion"/>
  </si>
  <si>
    <t>備註欄</t>
    <phoneticPr fontId="3" type="noConversion"/>
  </si>
  <si>
    <r>
      <t>正常買賣總價格</t>
    </r>
    <r>
      <rPr>
        <sz val="12"/>
        <rFont val="Times New Roman"/>
        <family val="1"/>
      </rPr>
      <t>(</t>
    </r>
    <r>
      <rPr>
        <sz val="12"/>
        <rFont val="標楷體"/>
        <family val="4"/>
        <charset val="136"/>
      </rPr>
      <t>元</t>
    </r>
    <r>
      <rPr>
        <sz val="12"/>
        <rFont val="Times New Roman"/>
        <family val="1"/>
      </rPr>
      <t>)</t>
    </r>
    <phoneticPr fontId="3" type="noConversion"/>
  </si>
  <si>
    <r>
      <t>買賣實例總價格</t>
    </r>
    <r>
      <rPr>
        <sz val="12"/>
        <rFont val="Times New Roman"/>
        <family val="1"/>
      </rPr>
      <t>(</t>
    </r>
    <r>
      <rPr>
        <sz val="12"/>
        <rFont val="標楷體"/>
        <family val="4"/>
        <charset val="136"/>
      </rPr>
      <t>元</t>
    </r>
    <r>
      <rPr>
        <sz val="12"/>
        <rFont val="Times New Roman"/>
        <family val="1"/>
      </rPr>
      <t>)</t>
    </r>
    <phoneticPr fontId="3" type="noConversion"/>
  </si>
  <si>
    <t>備   註     欄</t>
    <phoneticPr fontId="3" type="noConversion"/>
  </si>
  <si>
    <t>各宗地</t>
    <phoneticPr fontId="3" type="noConversion"/>
  </si>
  <si>
    <t>全案</t>
    <phoneticPr fontId="3" type="noConversion"/>
  </si>
  <si>
    <t>比準地或各比較標的</t>
    <phoneticPr fontId="3" type="noConversion"/>
  </si>
  <si>
    <t>全案</t>
    <phoneticPr fontId="3" type="noConversion"/>
  </si>
  <si>
    <t>興辦事業計畫名稱：</t>
    <phoneticPr fontId="3" type="noConversion"/>
  </si>
  <si>
    <r>
      <t>填寫日期：○○年○○月○○日</t>
    </r>
    <r>
      <rPr>
        <sz val="12"/>
        <color indexed="12"/>
        <rFont val="Times New Roman"/>
        <family val="1"/>
      </rPr>
      <t xml:space="preserve">      </t>
    </r>
    <r>
      <rPr>
        <sz val="11"/>
        <color indexed="12"/>
        <rFont val="標楷體"/>
        <family val="4"/>
        <charset val="136"/>
      </rPr>
      <t>○○機關（即需用土地人）核章：承辦人　　　</t>
    </r>
    <r>
      <rPr>
        <sz val="11"/>
        <color indexed="12"/>
        <rFont val="Times New Roman"/>
        <family val="1"/>
      </rPr>
      <t xml:space="preserve">         </t>
    </r>
    <r>
      <rPr>
        <sz val="11"/>
        <color indexed="12"/>
        <rFont val="標楷體"/>
        <family val="4"/>
        <charset val="136"/>
      </rPr>
      <t>單位主管：　　</t>
    </r>
    <r>
      <rPr>
        <sz val="11"/>
        <color indexed="12"/>
        <rFont val="Times New Roman"/>
        <family val="1"/>
      </rPr>
      <t xml:space="preserve">        </t>
    </r>
    <r>
      <rPr>
        <sz val="11"/>
        <color indexed="12"/>
        <rFont val="標楷體"/>
        <family val="4"/>
        <charset val="136"/>
      </rPr>
      <t>　　首長：</t>
    </r>
    <phoneticPr fontId="3" type="noConversion"/>
  </si>
  <si>
    <r>
      <t>7</t>
    </r>
    <r>
      <rPr>
        <sz val="10"/>
        <color indexed="12"/>
        <rFont val="標楷體"/>
        <family val="4"/>
        <charset val="136"/>
      </rPr>
      <t>面積</t>
    </r>
    <r>
      <rPr>
        <sz val="10"/>
        <color indexed="12"/>
        <rFont val="Times New Roman"/>
        <family val="1"/>
      </rPr>
      <t>(</t>
    </r>
    <r>
      <rPr>
        <sz val="10"/>
        <color indexed="12"/>
        <rFont val="標楷體"/>
        <family val="4"/>
        <charset val="136"/>
      </rPr>
      <t>㎡</t>
    </r>
    <r>
      <rPr>
        <sz val="10"/>
        <color indexed="12"/>
        <rFont val="Times New Roman"/>
        <family val="1"/>
      </rPr>
      <t>)</t>
    </r>
    <phoneticPr fontId="3" type="noConversion"/>
  </si>
  <si>
    <t>區段線長度(CM)</t>
    <phoneticPr fontId="3" type="noConversion"/>
  </si>
  <si>
    <t>0002-01</t>
    <phoneticPr fontId="3" type="noConversion"/>
  </si>
  <si>
    <t>0002-02</t>
    <phoneticPr fontId="3" type="noConversion"/>
  </si>
  <si>
    <t>0002-03</t>
    <phoneticPr fontId="3" type="noConversion"/>
  </si>
  <si>
    <t>0002-04</t>
    <phoneticPr fontId="3" type="noConversion"/>
  </si>
  <si>
    <t>0003-00</t>
    <phoneticPr fontId="3" type="noConversion"/>
  </si>
  <si>
    <t>0004-00</t>
    <phoneticPr fontId="3" type="noConversion"/>
  </si>
  <si>
    <t>0005-00</t>
    <phoneticPr fontId="3" type="noConversion"/>
  </si>
  <si>
    <t>0006-00</t>
    <phoneticPr fontId="3" type="noConversion"/>
  </si>
  <si>
    <t>0007-00</t>
    <phoneticPr fontId="3" type="noConversion"/>
  </si>
  <si>
    <t>0008-00</t>
    <phoneticPr fontId="3" type="noConversion"/>
  </si>
  <si>
    <t xml:space="preserve"> 宗地流水號：</t>
  </si>
  <si>
    <t>宗地流水號</t>
    <phoneticPr fontId="3" type="noConversion"/>
  </si>
  <si>
    <t>○○段○○小段</t>
    <phoneticPr fontId="3" type="noConversion"/>
  </si>
  <si>
    <t>加強磚造</t>
    <phoneticPr fontId="3" type="noConversion"/>
  </si>
  <si>
    <t>0004</t>
    <phoneticPr fontId="3" type="noConversion"/>
  </si>
  <si>
    <t>0007</t>
    <phoneticPr fontId="3" type="noConversion"/>
  </si>
  <si>
    <t>0008</t>
    <phoneticPr fontId="3" type="noConversion"/>
  </si>
  <si>
    <t>鋼筋混凝土</t>
    <phoneticPr fontId="3" type="noConversion"/>
  </si>
  <si>
    <t>鋼筋混凝土加強磚造</t>
    <phoneticPr fontId="3" type="noConversion"/>
  </si>
  <si>
    <t>地價區段號</t>
    <phoneticPr fontId="3" type="noConversion"/>
  </si>
  <si>
    <t>方形</t>
    <phoneticPr fontId="3" type="noConversion"/>
  </si>
  <si>
    <t>單面臨街</t>
    <phoneticPr fontId="3" type="noConversion"/>
  </si>
  <si>
    <t>平坦</t>
    <phoneticPr fontId="3" type="noConversion"/>
  </si>
  <si>
    <t>-</t>
    <phoneticPr fontId="3" type="noConversion"/>
  </si>
  <si>
    <t>M</t>
    <phoneticPr fontId="3" type="noConversion"/>
  </si>
  <si>
    <t>○○車站</t>
    <phoneticPr fontId="3" type="noConversion"/>
  </si>
  <si>
    <t>○○垃圾焚化場</t>
    <phoneticPr fontId="3" type="noConversion"/>
  </si>
  <si>
    <t>農牧用地</t>
    <phoneticPr fontId="3" type="noConversion"/>
  </si>
  <si>
    <t>無</t>
    <phoneticPr fontId="3" type="noConversion"/>
  </si>
  <si>
    <t>○○○○○○○○○○○○</t>
    <phoneticPr fontId="3" type="noConversion"/>
  </si>
  <si>
    <t>公共設施保留地不納入計算</t>
    <phoneticPr fontId="3" type="noConversion"/>
  </si>
  <si>
    <t>36</t>
    <phoneticPr fontId="3" type="noConversion"/>
  </si>
  <si>
    <t>37</t>
    <phoneticPr fontId="3" type="noConversion"/>
  </si>
  <si>
    <t>35-1</t>
    <phoneticPr fontId="3" type="noConversion"/>
  </si>
  <si>
    <t>0006-01</t>
    <phoneticPr fontId="3" type="noConversion"/>
  </si>
  <si>
    <t>0006-02</t>
  </si>
  <si>
    <t>土地所有權人或管理人姓名</t>
    <phoneticPr fontId="3" type="noConversion"/>
  </si>
  <si>
    <r>
      <t>35</t>
    </r>
    <r>
      <rPr>
        <sz val="10"/>
        <color indexed="12"/>
        <rFont val="細明體"/>
        <family val="3"/>
        <charset val="136"/>
      </rPr>
      <t>等</t>
    </r>
    <phoneticPr fontId="3" type="noConversion"/>
  </si>
  <si>
    <t>甲一</t>
    <phoneticPr fontId="3" type="noConversion"/>
  </si>
  <si>
    <t>乙二</t>
    <phoneticPr fontId="3" type="noConversion"/>
  </si>
  <si>
    <t>丙三等3人</t>
    <phoneticPr fontId="3" type="noConversion"/>
  </si>
  <si>
    <t>丁四等4人</t>
    <phoneticPr fontId="3" type="noConversion"/>
  </si>
  <si>
    <t>表1-1  買賣實例調查估價表</t>
    <phoneticPr fontId="3" type="noConversion"/>
  </si>
  <si>
    <t>表1-2 買賣實例調查估價表</t>
    <phoneticPr fontId="3" type="noConversion"/>
  </si>
  <si>
    <t>表1-3  買賣實例調查估價表</t>
    <phoneticPr fontId="3" type="noConversion"/>
  </si>
  <si>
    <t>表5-1 影響地價區域因素分析明細表（住宅用地）</t>
    <phoneticPr fontId="3" type="noConversion"/>
  </si>
  <si>
    <t xml:space="preserve">表6  徵收土地宗地市價估計表                          </t>
    <phoneticPr fontId="3" type="noConversion"/>
  </si>
  <si>
    <t>表7  宗地個別因素清冊</t>
    <phoneticPr fontId="3" type="noConversion"/>
  </si>
  <si>
    <t>表9  徵收土地宗地市價評議表</t>
    <phoneticPr fontId="3" type="noConversion"/>
  </si>
  <si>
    <t>表10  徵收土地宗地市價清冊</t>
    <phoneticPr fontId="3" type="noConversion"/>
  </si>
  <si>
    <t>註：實例數多於35筆請接續頁</t>
  </si>
  <si>
    <r>
      <t>單位：元/M</t>
    </r>
    <r>
      <rPr>
        <vertAlign val="superscript"/>
        <sz val="11"/>
        <rFont val="標楷體"/>
        <family val="4"/>
        <charset val="136"/>
      </rPr>
      <t>2</t>
    </r>
    <phoneticPr fontId="3" type="noConversion"/>
  </si>
  <si>
    <t>填寫日期：　年　月　日  承辦員：  　   　　課（股）長：　        　主任（局、處長）：　</t>
    <phoneticPr fontId="3" type="noConversion"/>
  </si>
  <si>
    <t>表12  市價變動幅度評議表</t>
    <phoneticPr fontId="3" type="noConversion"/>
  </si>
  <si>
    <t>表13  市價變動幅度表</t>
    <phoneticPr fontId="3" type="noConversion"/>
  </si>
  <si>
    <t>0006-02</t>
    <phoneticPr fontId="3" type="noConversion"/>
  </si>
  <si>
    <t>-</t>
    <phoneticPr fontId="3" type="noConversion"/>
  </si>
  <si>
    <t>無</t>
    <phoneticPr fontId="3" type="noConversion"/>
  </si>
  <si>
    <t>○○鄉</t>
    <phoneticPr fontId="3" type="noConversion"/>
  </si>
  <si>
    <t>○○鄉</t>
    <phoneticPr fontId="3" type="noConversion"/>
  </si>
  <si>
    <r>
      <t>35</t>
    </r>
    <r>
      <rPr>
        <sz val="12"/>
        <rFont val="細明體"/>
        <family val="3"/>
        <charset val="136"/>
      </rPr>
      <t>等</t>
    </r>
    <phoneticPr fontId="3" type="noConversion"/>
  </si>
  <si>
    <t>35</t>
    <phoneticPr fontId="3" type="noConversion"/>
  </si>
  <si>
    <t>35-1</t>
    <phoneticPr fontId="3" type="noConversion"/>
  </si>
  <si>
    <t>36</t>
    <phoneticPr fontId="3" type="noConversion"/>
  </si>
  <si>
    <t>37</t>
    <phoneticPr fontId="3" type="noConversion"/>
  </si>
  <si>
    <t>面積、寬度</t>
    <phoneticPr fontId="3" type="noConversion"/>
  </si>
  <si>
    <t>面積、寬度</t>
    <phoneticPr fontId="3" type="noConversion"/>
  </si>
  <si>
    <t>面積、深度</t>
    <phoneticPr fontId="3" type="noConversion"/>
  </si>
  <si>
    <t>面積、深度、非臨街地</t>
    <phoneticPr fontId="3" type="noConversion"/>
  </si>
  <si>
    <t>面積、深度</t>
    <phoneticPr fontId="3" type="noConversion"/>
  </si>
  <si>
    <t>面積、深度、非臨街地</t>
    <phoneticPr fontId="3" type="noConversion"/>
  </si>
  <si>
    <t>TEST01</t>
    <phoneticPr fontId="3" type="noConversion"/>
  </si>
  <si>
    <t>TEST01全市</t>
    <phoneticPr fontId="3" type="noConversion"/>
  </si>
  <si>
    <t>TEST01</t>
    <phoneticPr fontId="3" type="noConversion"/>
  </si>
  <si>
    <t>分類</t>
    <phoneticPr fontId="3" type="noConversion"/>
  </si>
  <si>
    <t>B基期：</t>
    <phoneticPr fontId="3" type="noConversion"/>
  </si>
  <si>
    <t>T現期：</t>
    <phoneticPr fontId="3" type="noConversion"/>
  </si>
  <si>
    <t>TEST01非都L2</t>
    <phoneticPr fontId="3" type="noConversion"/>
  </si>
  <si>
    <t>非都</t>
    <phoneticPr fontId="3" type="noConversion"/>
  </si>
  <si>
    <t>TEST01都計內H1</t>
    <phoneticPr fontId="3" type="noConversion"/>
  </si>
  <si>
    <t>都計內</t>
    <phoneticPr fontId="3" type="noConversion"/>
  </si>
  <si>
    <t>TEST01非都H2</t>
    <phoneticPr fontId="3" type="noConversion"/>
  </si>
  <si>
    <r>
      <t>TEST01</t>
    </r>
    <r>
      <rPr>
        <sz val="11"/>
        <rFont val="標楷體"/>
        <family val="4"/>
        <charset val="136"/>
      </rPr>
      <t>全市</t>
    </r>
    <phoneticPr fontId="3" type="noConversion"/>
  </si>
  <si>
    <r>
      <t>實例件數</t>
    </r>
    <r>
      <rPr>
        <sz val="12"/>
        <rFont val="Times New Roman"/>
        <family val="1"/>
      </rPr>
      <t>m</t>
    </r>
    <phoneticPr fontId="3" type="noConversion"/>
  </si>
  <si>
    <r>
      <t>比例</t>
    </r>
    <r>
      <rPr>
        <sz val="12"/>
        <rFont val="Times New Roman"/>
        <family val="1"/>
      </rPr>
      <t>BR</t>
    </r>
    <phoneticPr fontId="3" type="noConversion"/>
  </si>
  <si>
    <r>
      <t>土地</t>
    </r>
    <r>
      <rPr>
        <sz val="12"/>
        <rFont val="Times New Roman"/>
        <family val="1"/>
      </rPr>
      <t>L</t>
    </r>
    <phoneticPr fontId="3" type="noConversion"/>
  </si>
  <si>
    <r>
      <t>都內土地</t>
    </r>
    <r>
      <rPr>
        <sz val="12"/>
        <rFont val="Times New Roman"/>
        <family val="1"/>
      </rPr>
      <t>L</t>
    </r>
    <r>
      <rPr>
        <vertAlign val="subscript"/>
        <sz val="12"/>
        <rFont val="Times New Roman"/>
        <family val="1"/>
      </rPr>
      <t>1</t>
    </r>
    <phoneticPr fontId="3" type="noConversion"/>
  </si>
  <si>
    <r>
      <t>非都土地</t>
    </r>
    <r>
      <rPr>
        <sz val="12"/>
        <rFont val="Times New Roman"/>
        <family val="1"/>
      </rPr>
      <t>L</t>
    </r>
    <r>
      <rPr>
        <vertAlign val="subscript"/>
        <sz val="12"/>
        <rFont val="Times New Roman"/>
        <family val="1"/>
      </rPr>
      <t>2</t>
    </r>
    <phoneticPr fontId="3" type="noConversion"/>
  </si>
  <si>
    <r>
      <t>房地</t>
    </r>
    <r>
      <rPr>
        <sz val="12"/>
        <rFont val="Times New Roman"/>
        <family val="1"/>
      </rPr>
      <t>H</t>
    </r>
    <phoneticPr fontId="3" type="noConversion"/>
  </si>
  <si>
    <r>
      <t>都內房地</t>
    </r>
    <r>
      <rPr>
        <sz val="12"/>
        <rFont val="Times New Roman"/>
        <family val="1"/>
      </rPr>
      <t>H</t>
    </r>
    <r>
      <rPr>
        <vertAlign val="subscript"/>
        <sz val="12"/>
        <rFont val="Times New Roman"/>
        <family val="1"/>
      </rPr>
      <t>1</t>
    </r>
    <phoneticPr fontId="3" type="noConversion"/>
  </si>
  <si>
    <r>
      <t>非都房地</t>
    </r>
    <r>
      <rPr>
        <sz val="12"/>
        <rFont val="Times New Roman"/>
        <family val="1"/>
      </rPr>
      <t>H</t>
    </r>
    <r>
      <rPr>
        <vertAlign val="subscript"/>
        <sz val="12"/>
        <rFont val="Times New Roman"/>
        <family val="1"/>
      </rPr>
      <t>2</t>
    </r>
    <phoneticPr fontId="3" type="noConversion"/>
  </si>
  <si>
    <t>總件數</t>
    <phoneticPr fontId="3" type="noConversion"/>
  </si>
  <si>
    <r>
      <t>各類別單價平均值</t>
    </r>
    <r>
      <rPr>
        <sz val="10"/>
        <rFont val="Times New Roman"/>
        <family val="1"/>
      </rPr>
      <t>(</t>
    </r>
    <r>
      <rPr>
        <sz val="10"/>
        <rFont val="標楷體"/>
        <family val="4"/>
        <charset val="136"/>
      </rPr>
      <t>元</t>
    </r>
    <r>
      <rPr>
        <sz val="10"/>
        <rFont val="Times New Roman"/>
        <family val="1"/>
      </rPr>
      <t>/M</t>
    </r>
    <r>
      <rPr>
        <vertAlign val="superscript"/>
        <sz val="10"/>
        <rFont val="Times New Roman"/>
        <family val="1"/>
      </rPr>
      <t>2</t>
    </r>
    <r>
      <rPr>
        <sz val="10"/>
        <rFont val="Times New Roman"/>
        <family val="1"/>
      </rPr>
      <t>)</t>
    </r>
    <phoneticPr fontId="3" type="noConversion"/>
  </si>
  <si>
    <r>
      <t>加權後單價平均值</t>
    </r>
    <r>
      <rPr>
        <sz val="10"/>
        <rFont val="Times New Roman"/>
        <family val="1"/>
      </rPr>
      <t>(</t>
    </r>
    <r>
      <rPr>
        <sz val="10"/>
        <rFont val="標楷體"/>
        <family val="4"/>
        <charset val="136"/>
      </rPr>
      <t>元</t>
    </r>
    <r>
      <rPr>
        <sz val="10"/>
        <rFont val="Times New Roman"/>
        <family val="1"/>
      </rPr>
      <t>/M</t>
    </r>
    <r>
      <rPr>
        <vertAlign val="superscript"/>
        <sz val="10"/>
        <rFont val="Times New Roman"/>
        <family val="1"/>
      </rPr>
      <t>2</t>
    </r>
    <r>
      <rPr>
        <sz val="10"/>
        <rFont val="Times New Roman"/>
        <family val="1"/>
      </rPr>
      <t>)</t>
    </r>
    <phoneticPr fontId="3" type="noConversion"/>
  </si>
  <si>
    <t>變動幅度</t>
    <phoneticPr fontId="3" type="noConversion"/>
  </si>
  <si>
    <r>
      <t>基期都內土地</t>
    </r>
    <r>
      <rPr>
        <sz val="9"/>
        <rFont val="Times New Roman"/>
        <family val="1"/>
      </rPr>
      <t>BL</t>
    </r>
    <r>
      <rPr>
        <vertAlign val="subscript"/>
        <sz val="9"/>
        <rFont val="Times New Roman"/>
        <family val="1"/>
      </rPr>
      <t>1</t>
    </r>
    <phoneticPr fontId="3" type="noConversion"/>
  </si>
  <si>
    <r>
      <t>現期都內土地</t>
    </r>
    <r>
      <rPr>
        <sz val="9"/>
        <rFont val="Times New Roman"/>
        <family val="1"/>
      </rPr>
      <t>TL</t>
    </r>
    <r>
      <rPr>
        <vertAlign val="subscript"/>
        <sz val="9"/>
        <rFont val="Times New Roman"/>
        <family val="1"/>
      </rPr>
      <t>1</t>
    </r>
    <phoneticPr fontId="3" type="noConversion"/>
  </si>
  <si>
    <r>
      <t>基期土地</t>
    </r>
    <r>
      <rPr>
        <sz val="9"/>
        <rFont val="Times New Roman"/>
        <family val="1"/>
      </rPr>
      <t>AB</t>
    </r>
    <r>
      <rPr>
        <vertAlign val="subscript"/>
        <sz val="9"/>
        <rFont val="Times New Roman"/>
        <family val="1"/>
      </rPr>
      <t>L</t>
    </r>
    <phoneticPr fontId="3" type="noConversion"/>
  </si>
  <si>
    <r>
      <t>現期土地</t>
    </r>
    <r>
      <rPr>
        <sz val="9"/>
        <rFont val="Times New Roman"/>
        <family val="1"/>
      </rPr>
      <t>AT</t>
    </r>
    <r>
      <rPr>
        <vertAlign val="subscript"/>
        <sz val="9"/>
        <rFont val="Times New Roman"/>
        <family val="1"/>
      </rPr>
      <t>L</t>
    </r>
    <phoneticPr fontId="3" type="noConversion"/>
  </si>
  <si>
    <r>
      <t>土地變動幅度</t>
    </r>
    <r>
      <rPr>
        <sz val="9"/>
        <rFont val="Times New Roman"/>
        <family val="1"/>
      </rPr>
      <t>VL</t>
    </r>
    <phoneticPr fontId="3" type="noConversion"/>
  </si>
  <si>
    <r>
      <t>市價變動幅度</t>
    </r>
    <r>
      <rPr>
        <sz val="9"/>
        <rFont val="Times New Roman"/>
        <family val="1"/>
      </rPr>
      <t>V</t>
    </r>
    <phoneticPr fontId="3" type="noConversion"/>
  </si>
  <si>
    <r>
      <t>基期非都土地</t>
    </r>
    <r>
      <rPr>
        <sz val="9"/>
        <rFont val="Times New Roman"/>
        <family val="1"/>
      </rPr>
      <t>BL</t>
    </r>
    <r>
      <rPr>
        <vertAlign val="subscript"/>
        <sz val="9"/>
        <rFont val="Times New Roman"/>
        <family val="1"/>
      </rPr>
      <t>2</t>
    </r>
    <phoneticPr fontId="3" type="noConversion"/>
  </si>
  <si>
    <r>
      <t>現期非都土地</t>
    </r>
    <r>
      <rPr>
        <sz val="9"/>
        <rFont val="Times New Roman"/>
        <family val="1"/>
      </rPr>
      <t>TL</t>
    </r>
    <r>
      <rPr>
        <vertAlign val="subscript"/>
        <sz val="9"/>
        <rFont val="Times New Roman"/>
        <family val="1"/>
      </rPr>
      <t>2</t>
    </r>
    <phoneticPr fontId="3" type="noConversion"/>
  </si>
  <si>
    <r>
      <t>基期都內房地</t>
    </r>
    <r>
      <rPr>
        <sz val="9"/>
        <rFont val="Times New Roman"/>
        <family val="1"/>
      </rPr>
      <t>BH</t>
    </r>
    <r>
      <rPr>
        <vertAlign val="subscript"/>
        <sz val="9"/>
        <rFont val="Times New Roman"/>
        <family val="1"/>
      </rPr>
      <t>1</t>
    </r>
    <phoneticPr fontId="3" type="noConversion"/>
  </si>
  <si>
    <r>
      <t>現期都內房地</t>
    </r>
    <r>
      <rPr>
        <sz val="9"/>
        <rFont val="Times New Roman"/>
        <family val="1"/>
      </rPr>
      <t>TH</t>
    </r>
    <r>
      <rPr>
        <vertAlign val="subscript"/>
        <sz val="9"/>
        <rFont val="Times New Roman"/>
        <family val="1"/>
      </rPr>
      <t>1</t>
    </r>
    <phoneticPr fontId="3" type="noConversion"/>
  </si>
  <si>
    <r>
      <t>基期房地</t>
    </r>
    <r>
      <rPr>
        <sz val="9"/>
        <rFont val="Times New Roman"/>
        <family val="1"/>
      </rPr>
      <t>AB</t>
    </r>
    <r>
      <rPr>
        <vertAlign val="subscript"/>
        <sz val="9"/>
        <rFont val="Times New Roman"/>
        <family val="1"/>
      </rPr>
      <t>H</t>
    </r>
    <phoneticPr fontId="3" type="noConversion"/>
  </si>
  <si>
    <r>
      <t>現期房地</t>
    </r>
    <r>
      <rPr>
        <sz val="9"/>
        <rFont val="Times New Roman"/>
        <family val="1"/>
      </rPr>
      <t>AT</t>
    </r>
    <r>
      <rPr>
        <vertAlign val="subscript"/>
        <sz val="9"/>
        <rFont val="Times New Roman"/>
        <family val="1"/>
      </rPr>
      <t>H</t>
    </r>
    <phoneticPr fontId="3" type="noConversion"/>
  </si>
  <si>
    <r>
      <t>房地變動幅度</t>
    </r>
    <r>
      <rPr>
        <sz val="9"/>
        <rFont val="Times New Roman"/>
        <family val="1"/>
      </rPr>
      <t>VH</t>
    </r>
    <phoneticPr fontId="3" type="noConversion"/>
  </si>
  <si>
    <r>
      <t>基期非都房地</t>
    </r>
    <r>
      <rPr>
        <sz val="9"/>
        <rFont val="Times New Roman"/>
        <family val="1"/>
      </rPr>
      <t>BH</t>
    </r>
    <r>
      <rPr>
        <vertAlign val="subscript"/>
        <sz val="9"/>
        <rFont val="Times New Roman"/>
        <family val="1"/>
      </rPr>
      <t>2</t>
    </r>
    <phoneticPr fontId="3" type="noConversion"/>
  </si>
  <si>
    <r>
      <t>現期非都房地</t>
    </r>
    <r>
      <rPr>
        <sz val="9"/>
        <rFont val="Times New Roman"/>
        <family val="1"/>
      </rPr>
      <t>TH</t>
    </r>
    <r>
      <rPr>
        <vertAlign val="subscript"/>
        <sz val="9"/>
        <rFont val="Times New Roman"/>
        <family val="1"/>
      </rPr>
      <t>2</t>
    </r>
    <phoneticPr fontId="3" type="noConversion"/>
  </si>
  <si>
    <t>TEST01都計內L1</t>
    <phoneticPr fontId="3" type="noConversion"/>
  </si>
  <si>
    <r>
      <t>實例市價單價P</t>
    </r>
    <r>
      <rPr>
        <vertAlign val="subscript"/>
        <sz val="11"/>
        <rFont val="標楷體"/>
        <family val="4"/>
        <charset val="136"/>
      </rPr>
      <t>Lji</t>
    </r>
    <phoneticPr fontId="3" type="noConversion"/>
  </si>
  <si>
    <r>
      <t>排序後實例市價單價P</t>
    </r>
    <r>
      <rPr>
        <vertAlign val="subscript"/>
        <sz val="11"/>
        <rFont val="標楷體"/>
        <family val="4"/>
        <charset val="136"/>
      </rPr>
      <t>Lji</t>
    </r>
    <phoneticPr fontId="3" type="noConversion"/>
  </si>
  <si>
    <r>
      <t>以排序</t>
    </r>
    <r>
      <rPr>
        <sz val="11"/>
        <rFont val="Times New Roman"/>
        <family val="1"/>
      </rPr>
      <t>3~8</t>
    </r>
    <r>
      <rPr>
        <sz val="11"/>
        <rFont val="標楷體"/>
        <family val="4"/>
        <charset val="136"/>
      </rPr>
      <t>計算</t>
    </r>
    <phoneticPr fontId="3" type="noConversion"/>
  </si>
  <si>
    <r>
      <t>以排序</t>
    </r>
    <r>
      <rPr>
        <sz val="11"/>
        <rFont val="Times New Roman"/>
        <family val="1"/>
      </rPr>
      <t>4~9</t>
    </r>
    <r>
      <rPr>
        <sz val="11"/>
        <rFont val="標楷體"/>
        <family val="4"/>
        <charset val="136"/>
      </rPr>
      <t>計算</t>
    </r>
    <phoneticPr fontId="3" type="noConversion"/>
  </si>
  <si>
    <r>
      <t>基期市價單價平均值BL</t>
    </r>
    <r>
      <rPr>
        <vertAlign val="subscript"/>
        <sz val="11"/>
        <rFont val="標楷體"/>
        <family val="4"/>
        <charset val="136"/>
      </rPr>
      <t>1</t>
    </r>
    <phoneticPr fontId="3" type="noConversion"/>
  </si>
  <si>
    <r>
      <t>以排序</t>
    </r>
    <r>
      <rPr>
        <sz val="11"/>
        <rFont val="Times New Roman"/>
        <family val="1"/>
      </rPr>
      <t>6~17</t>
    </r>
    <r>
      <rPr>
        <sz val="11"/>
        <rFont val="標楷體"/>
        <family val="4"/>
        <charset val="136"/>
      </rPr>
      <t>計算</t>
    </r>
    <phoneticPr fontId="3" type="noConversion"/>
  </si>
  <si>
    <r>
      <t>以排序</t>
    </r>
    <r>
      <rPr>
        <sz val="11"/>
        <rFont val="Times New Roman"/>
        <family val="1"/>
      </rPr>
      <t>8~21</t>
    </r>
    <r>
      <rPr>
        <sz val="11"/>
        <rFont val="標楷體"/>
        <family val="4"/>
        <charset val="136"/>
      </rPr>
      <t>計算</t>
    </r>
    <phoneticPr fontId="3" type="noConversion"/>
  </si>
  <si>
    <r>
      <t>以排序</t>
    </r>
    <r>
      <rPr>
        <sz val="11"/>
        <rFont val="Times New Roman"/>
        <family val="1"/>
      </rPr>
      <t>6~15</t>
    </r>
    <r>
      <rPr>
        <sz val="11"/>
        <rFont val="標楷體"/>
        <family val="4"/>
        <charset val="136"/>
      </rPr>
      <t>計算</t>
    </r>
    <phoneticPr fontId="3" type="noConversion"/>
  </si>
  <si>
    <t>地價區段號：P101-00</t>
    <phoneticPr fontId="3" type="noConversion"/>
  </si>
  <si>
    <t>地價區段號：P102-00</t>
    <phoneticPr fontId="3" type="noConversion"/>
  </si>
  <si>
    <t>地價區段號：P103-00</t>
    <phoneticPr fontId="3" type="noConversion"/>
  </si>
  <si>
    <t>地價區段號：P020-00</t>
    <phoneticPr fontId="3" type="noConversion"/>
  </si>
  <si>
    <t>P100-00</t>
    <phoneticPr fontId="3" type="noConversion"/>
  </si>
  <si>
    <t>P007-00</t>
    <phoneticPr fontId="3" type="noConversion"/>
  </si>
  <si>
    <t>P003-01</t>
    <phoneticPr fontId="3" type="noConversion"/>
  </si>
  <si>
    <t>P003-00</t>
    <phoneticPr fontId="3" type="noConversion"/>
  </si>
  <si>
    <t>P002-00</t>
    <phoneticPr fontId="3" type="noConversion"/>
  </si>
  <si>
    <t>P004-00</t>
    <phoneticPr fontId="3" type="noConversion"/>
  </si>
  <si>
    <t>P005-00</t>
    <phoneticPr fontId="3" type="noConversion"/>
  </si>
  <si>
    <t>比例BR</t>
    <phoneticPr fontId="3" type="noConversion"/>
  </si>
  <si>
    <t>作業分區</t>
    <phoneticPr fontId="3" type="noConversion"/>
  </si>
  <si>
    <t>個別因素調整</t>
  </si>
  <si>
    <t>決定理由</t>
    <phoneticPr fontId="3" type="noConversion"/>
  </si>
  <si>
    <t>表14 比準地地價估計表</t>
    <phoneticPr fontId="3" type="noConversion"/>
  </si>
  <si>
    <t>區段號</t>
    <phoneticPr fontId="3" type="noConversion"/>
  </si>
  <si>
    <t>比準地基本資料</t>
    <phoneticPr fontId="3" type="noConversion"/>
  </si>
  <si>
    <t>比較價格</t>
    <phoneticPr fontId="3" type="noConversion"/>
  </si>
  <si>
    <t>權重</t>
    <phoneticPr fontId="3" type="noConversion"/>
  </si>
  <si>
    <t>收益價格</t>
    <phoneticPr fontId="3" type="noConversion"/>
  </si>
  <si>
    <t>站牌之接近程度或密集程度</t>
    <phoneticPr fontId="3" type="noConversion"/>
  </si>
  <si>
    <r>
      <t>其他影響因素</t>
    </r>
    <r>
      <rPr>
        <sz val="10"/>
        <rFont val="Times New Roman"/>
        <family val="1"/>
      </rPr>
      <t xml:space="preserve">(8) </t>
    </r>
    <phoneticPr fontId="3" type="noConversion"/>
  </si>
  <si>
    <t>百分比小計</t>
    <phoneticPr fontId="3" type="noConversion"/>
  </si>
  <si>
    <t>電業設施及公用氣體燃料設施之有無及接近程度</t>
  </si>
  <si>
    <t>殯葬設施之有無及接近程度</t>
  </si>
  <si>
    <t>廢棄物處理設施之有無及接近程度</t>
  </si>
  <si>
    <t>環境污染(7)</t>
    <phoneticPr fontId="3" type="noConversion"/>
  </si>
  <si>
    <t>=(1)+(2)+(3)+(4)+(5)+(6)+(7)+(8)</t>
    <phoneticPr fontId="3" type="noConversion"/>
  </si>
  <si>
    <r>
      <t>區段地價（元/M</t>
    </r>
    <r>
      <rPr>
        <vertAlign val="superscript"/>
        <sz val="16"/>
        <rFont val="標楷體"/>
        <family val="4"/>
        <charset val="136"/>
      </rPr>
      <t>2</t>
    </r>
    <r>
      <rPr>
        <sz val="16"/>
        <rFont val="標楷體"/>
        <family val="4"/>
        <charset val="136"/>
      </rPr>
      <t>）</t>
    </r>
    <phoneticPr fontId="3" type="noConversion"/>
  </si>
  <si>
    <t>距離最近之三個同性質地價區段</t>
    <phoneticPr fontId="3" type="noConversion"/>
  </si>
  <si>
    <t>☆○鄉P004-01</t>
    <phoneticPr fontId="3" type="noConversion"/>
  </si>
  <si>
    <t>區  段  地  價  計  算  結  果</t>
    <phoneticPr fontId="3" type="noConversion"/>
  </si>
  <si>
    <r>
      <rPr>
        <sz val="12"/>
        <rFont val="標楷體"/>
        <family val="4"/>
        <charset val="136"/>
      </rPr>
      <t>地價區段號：</t>
    </r>
    <r>
      <rPr>
        <sz val="12"/>
        <color indexed="12"/>
        <rFont val="Times New Roman"/>
        <family val="1"/>
      </rPr>
      <t>P030-00</t>
    </r>
    <phoneticPr fontId="3" type="noConversion"/>
  </si>
  <si>
    <t>104.03.01</t>
    <phoneticPr fontId="3" type="noConversion"/>
  </si>
  <si>
    <t>高於3區段(3,800)</t>
    <phoneticPr fontId="3" type="noConversion"/>
  </si>
  <si>
    <t>○○鄉○○○○○○○○○○</t>
  </si>
  <si>
    <t>區段範圍</t>
    <phoneticPr fontId="3" type="noConversion"/>
  </si>
  <si>
    <t>案號：1040301-○○-○○○</t>
  </si>
  <si>
    <r>
      <t>區段地價  （元/M</t>
    </r>
    <r>
      <rPr>
        <vertAlign val="superscript"/>
        <sz val="16"/>
        <rFont val="標楷體"/>
        <family val="4"/>
        <charset val="136"/>
      </rPr>
      <t>2</t>
    </r>
    <r>
      <rPr>
        <sz val="16"/>
        <rFont val="標楷體"/>
        <family val="4"/>
        <charset val="136"/>
      </rPr>
      <t>）</t>
    </r>
    <phoneticPr fontId="3" type="noConversion"/>
  </si>
  <si>
    <r>
      <t>1040301-</t>
    </r>
    <r>
      <rPr>
        <sz val="11"/>
        <rFont val="標楷體"/>
        <family val="4"/>
        <charset val="136"/>
      </rPr>
      <t>○○</t>
    </r>
    <r>
      <rPr>
        <sz val="11"/>
        <rFont val="Times New Roman"/>
        <family val="1"/>
      </rPr>
      <t>-</t>
    </r>
    <r>
      <rPr>
        <sz val="11"/>
        <rFont val="標楷體"/>
        <family val="4"/>
        <charset val="136"/>
      </rPr>
      <t>○○○</t>
    </r>
    <phoneticPr fontId="3" type="noConversion"/>
  </si>
  <si>
    <t>1040301-○○-○○○</t>
    <phoneticPr fontId="3" type="noConversion"/>
  </si>
  <si>
    <t>地價區段號：P010-00</t>
    <phoneticPr fontId="3" type="noConversion"/>
  </si>
  <si>
    <t>平      均</t>
    <phoneticPr fontId="3" type="noConversion"/>
  </si>
  <si>
    <t>1030902-1040301</t>
    <phoneticPr fontId="3" type="noConversion"/>
  </si>
  <si>
    <t>1030302-1030901</t>
    <phoneticPr fontId="3" type="noConversion"/>
  </si>
  <si>
    <r>
      <t>103</t>
    </r>
    <r>
      <rPr>
        <sz val="12"/>
        <color indexed="12"/>
        <rFont val="細明體"/>
        <family val="3"/>
        <charset val="136"/>
      </rPr>
      <t>年</t>
    </r>
    <r>
      <rPr>
        <sz val="12"/>
        <color indexed="12"/>
        <rFont val="Times New Roman"/>
        <family val="1"/>
      </rPr>
      <t>10</t>
    </r>
    <r>
      <rPr>
        <sz val="12"/>
        <color indexed="12"/>
        <rFont val="細明體"/>
        <family val="3"/>
        <charset val="136"/>
      </rPr>
      <t>月</t>
    </r>
    <r>
      <rPr>
        <sz val="12"/>
        <color indexed="12"/>
        <rFont val="Times New Roman"/>
        <family val="1"/>
      </rPr>
      <t>5</t>
    </r>
    <r>
      <rPr>
        <sz val="12"/>
        <color indexed="12"/>
        <rFont val="細明體"/>
        <family val="3"/>
        <charset val="136"/>
      </rPr>
      <t>日</t>
    </r>
    <phoneticPr fontId="3" type="noConversion"/>
  </si>
  <si>
    <r>
      <t>103</t>
    </r>
    <r>
      <rPr>
        <sz val="12"/>
        <color indexed="12"/>
        <rFont val="細明體"/>
        <family val="3"/>
        <charset val="136"/>
      </rPr>
      <t>年</t>
    </r>
    <r>
      <rPr>
        <sz val="12"/>
        <color indexed="12"/>
        <rFont val="Times New Roman"/>
        <family val="1"/>
      </rPr>
      <t>11</t>
    </r>
    <r>
      <rPr>
        <sz val="12"/>
        <color indexed="12"/>
        <rFont val="細明體"/>
        <family val="3"/>
        <charset val="136"/>
      </rPr>
      <t>月</t>
    </r>
    <r>
      <rPr>
        <sz val="12"/>
        <color indexed="12"/>
        <rFont val="Times New Roman"/>
        <family val="1"/>
      </rPr>
      <t>9</t>
    </r>
    <r>
      <rPr>
        <sz val="12"/>
        <color indexed="12"/>
        <rFont val="細明體"/>
        <family val="3"/>
        <charset val="136"/>
      </rPr>
      <t>日</t>
    </r>
    <phoneticPr fontId="3" type="noConversion"/>
  </si>
  <si>
    <r>
      <t>103</t>
    </r>
    <r>
      <rPr>
        <sz val="12"/>
        <color indexed="12"/>
        <rFont val="細明體"/>
        <family val="3"/>
        <charset val="136"/>
      </rPr>
      <t>年</t>
    </r>
    <r>
      <rPr>
        <sz val="12"/>
        <color indexed="12"/>
        <rFont val="Times New Roman"/>
        <family val="1"/>
      </rPr>
      <t>10</t>
    </r>
    <r>
      <rPr>
        <sz val="12"/>
        <color indexed="12"/>
        <rFont val="細明體"/>
        <family val="3"/>
        <charset val="136"/>
      </rPr>
      <t>月</t>
    </r>
    <r>
      <rPr>
        <sz val="12"/>
        <color indexed="12"/>
        <rFont val="Times New Roman"/>
        <family val="1"/>
      </rPr>
      <t>23</t>
    </r>
    <r>
      <rPr>
        <sz val="12"/>
        <color indexed="12"/>
        <rFont val="細明體"/>
        <family val="3"/>
        <charset val="136"/>
      </rPr>
      <t>日</t>
    </r>
    <phoneticPr fontId="3" type="noConversion"/>
  </si>
  <si>
    <r>
      <t>103</t>
    </r>
    <r>
      <rPr>
        <sz val="12"/>
        <color indexed="12"/>
        <rFont val="細明體"/>
        <family val="3"/>
        <charset val="136"/>
      </rPr>
      <t>年</t>
    </r>
    <r>
      <rPr>
        <sz val="12"/>
        <color indexed="12"/>
        <rFont val="Times New Roman"/>
        <family val="1"/>
      </rPr>
      <t>12</t>
    </r>
    <r>
      <rPr>
        <sz val="12"/>
        <color indexed="12"/>
        <rFont val="細明體"/>
        <family val="3"/>
        <charset val="136"/>
      </rPr>
      <t>月</t>
    </r>
    <r>
      <rPr>
        <sz val="12"/>
        <color indexed="12"/>
        <rFont val="Times New Roman"/>
        <family val="1"/>
      </rPr>
      <t>12</t>
    </r>
    <r>
      <rPr>
        <sz val="12"/>
        <color indexed="12"/>
        <rFont val="細明體"/>
        <family val="3"/>
        <charset val="136"/>
      </rPr>
      <t>日</t>
    </r>
    <phoneticPr fontId="3" type="noConversion"/>
  </si>
  <si>
    <r>
      <t>103</t>
    </r>
    <r>
      <rPr>
        <sz val="12"/>
        <color indexed="12"/>
        <rFont val="細明體"/>
        <family val="3"/>
        <charset val="136"/>
      </rPr>
      <t>年</t>
    </r>
    <r>
      <rPr>
        <sz val="12"/>
        <color indexed="12"/>
        <rFont val="Times New Roman"/>
        <family val="1"/>
      </rPr>
      <t>10</t>
    </r>
    <r>
      <rPr>
        <sz val="12"/>
        <color indexed="12"/>
        <rFont val="細明體"/>
        <family val="3"/>
        <charset val="136"/>
      </rPr>
      <t>月</t>
    </r>
    <r>
      <rPr>
        <sz val="12"/>
        <color indexed="12"/>
        <rFont val="Times New Roman"/>
        <family val="1"/>
      </rPr>
      <t>17</t>
    </r>
    <r>
      <rPr>
        <sz val="12"/>
        <color indexed="12"/>
        <rFont val="細明體"/>
        <family val="3"/>
        <charset val="136"/>
      </rPr>
      <t>日</t>
    </r>
    <phoneticPr fontId="3" type="noConversion"/>
  </si>
  <si>
    <r>
      <t>103</t>
    </r>
    <r>
      <rPr>
        <sz val="12"/>
        <color indexed="12"/>
        <rFont val="細明體"/>
        <family val="3"/>
        <charset val="136"/>
      </rPr>
      <t>年</t>
    </r>
    <r>
      <rPr>
        <sz val="12"/>
        <color indexed="12"/>
        <rFont val="Times New Roman"/>
        <family val="1"/>
      </rPr>
      <t>12</t>
    </r>
    <r>
      <rPr>
        <sz val="12"/>
        <color indexed="12"/>
        <rFont val="細明體"/>
        <family val="3"/>
        <charset val="136"/>
      </rPr>
      <t>月</t>
    </r>
    <r>
      <rPr>
        <sz val="12"/>
        <color indexed="12"/>
        <rFont val="Times New Roman"/>
        <family val="1"/>
      </rPr>
      <t>18</t>
    </r>
    <r>
      <rPr>
        <sz val="12"/>
        <color indexed="12"/>
        <rFont val="細明體"/>
        <family val="3"/>
        <charset val="136"/>
      </rPr>
      <t>日</t>
    </r>
    <phoneticPr fontId="3" type="noConversion"/>
  </si>
  <si>
    <t>比準地宗地流水號：</t>
    <phoneticPr fontId="3" type="noConversion"/>
  </si>
  <si>
    <t>◎◎段◎◎小段</t>
    <phoneticPr fontId="3" type="noConversion"/>
  </si>
  <si>
    <t>123</t>
    <phoneticPr fontId="3" type="noConversion"/>
  </si>
  <si>
    <t>456</t>
    <phoneticPr fontId="3" type="noConversion"/>
  </si>
  <si>
    <r>
      <t>估值(元/M</t>
    </r>
    <r>
      <rPr>
        <vertAlign val="superscript"/>
        <sz val="12"/>
        <rFont val="標楷體"/>
        <family val="4"/>
        <charset val="136"/>
      </rPr>
      <t>2</t>
    </r>
    <r>
      <rPr>
        <sz val="12"/>
        <rFont val="標楷體"/>
        <family val="4"/>
        <charset val="136"/>
      </rPr>
      <t>)及權重</t>
    </r>
    <phoneticPr fontId="3" type="noConversion"/>
  </si>
  <si>
    <r>
      <t>比準地地價(元/M</t>
    </r>
    <r>
      <rPr>
        <vertAlign val="superscript"/>
        <sz val="12"/>
        <rFont val="標楷體"/>
        <family val="4"/>
        <charset val="136"/>
      </rPr>
      <t>2</t>
    </r>
    <r>
      <rPr>
        <sz val="12"/>
        <rFont val="標楷體"/>
        <family val="4"/>
        <charset val="136"/>
      </rPr>
      <t>)</t>
    </r>
    <phoneticPr fontId="3" type="noConversion"/>
  </si>
  <si>
    <t xml:space="preserve">                不動產估價師：</t>
    <phoneticPr fontId="3" type="noConversion"/>
  </si>
  <si>
    <t>表11-2  市價變動幅度計算表(續頁)</t>
    <phoneticPr fontId="3" type="noConversion"/>
  </si>
  <si>
    <r>
      <t>現期市價單價平均值TL</t>
    </r>
    <r>
      <rPr>
        <vertAlign val="subscript"/>
        <sz val="11"/>
        <rFont val="標楷體"/>
        <family val="4"/>
        <charset val="136"/>
      </rPr>
      <t>1</t>
    </r>
    <phoneticPr fontId="3" type="noConversion"/>
  </si>
  <si>
    <t>宗地流水號</t>
    <phoneticPr fontId="3" type="noConversion"/>
  </si>
  <si>
    <t>影響地價區域因素總修正數</t>
    <phoneticPr fontId="3" type="noConversion"/>
  </si>
  <si>
    <t>年期：</t>
    <phoneticPr fontId="3" type="noConversion"/>
  </si>
  <si>
    <t>地價區段號：</t>
    <phoneticPr fontId="3" type="noConversion"/>
  </si>
  <si>
    <t>P040-00</t>
    <phoneticPr fontId="3" type="noConversion"/>
  </si>
  <si>
    <t>比準地宗地流水號：</t>
    <phoneticPr fontId="3" type="noConversion"/>
  </si>
  <si>
    <t>比準地坐落</t>
    <phoneticPr fontId="3" type="noConversion"/>
  </si>
  <si>
    <t>○○市○○區○○段○○小段○○地號</t>
    <phoneticPr fontId="3" type="noConversion"/>
  </si>
  <si>
    <t>建物門牌</t>
    <phoneticPr fontId="3" type="noConversion"/>
  </si>
  <si>
    <t>建號</t>
    <phoneticPr fontId="3" type="noConversion"/>
  </si>
  <si>
    <t>總收入</t>
    <phoneticPr fontId="3" type="noConversion"/>
  </si>
  <si>
    <t>總樓層</t>
    <phoneticPr fontId="3" type="noConversion"/>
  </si>
  <si>
    <t>樓層別</t>
    <phoneticPr fontId="3" type="noConversion"/>
  </si>
  <si>
    <t>重建成本</t>
    <phoneticPr fontId="3" type="noConversion"/>
  </si>
  <si>
    <t>成本價格</t>
    <phoneticPr fontId="3" type="noConversion"/>
  </si>
  <si>
    <t>估價基準日</t>
    <phoneticPr fontId="3" type="noConversion"/>
  </si>
  <si>
    <t>推估未來平均一年租金</t>
    <phoneticPr fontId="3" type="noConversion"/>
  </si>
  <si>
    <t>其他收入</t>
    <phoneticPr fontId="3" type="noConversion"/>
  </si>
  <si>
    <t>總收入合計</t>
    <phoneticPr fontId="3" type="noConversion"/>
  </si>
  <si>
    <t>每年閒置及其他原因之收入損失月數</t>
    <phoneticPr fontId="3" type="noConversion"/>
  </si>
  <si>
    <t>有效總收入</t>
    <phoneticPr fontId="3" type="noConversion"/>
  </si>
  <si>
    <t>總費用</t>
    <phoneticPr fontId="3" type="noConversion"/>
  </si>
  <si>
    <t>維修費</t>
    <phoneticPr fontId="3" type="noConversion"/>
  </si>
  <si>
    <t>房屋稅</t>
    <phoneticPr fontId="3" type="noConversion"/>
  </si>
  <si>
    <t>重置提撥費</t>
    <phoneticPr fontId="3" type="noConversion"/>
  </si>
  <si>
    <t>管理費</t>
    <phoneticPr fontId="3" type="noConversion"/>
  </si>
  <si>
    <t>其他費用</t>
    <phoneticPr fontId="3" type="noConversion"/>
  </si>
  <si>
    <t>保險費</t>
    <phoneticPr fontId="3" type="noConversion"/>
  </si>
  <si>
    <t>建物未來每年折舊提存率</t>
    <phoneticPr fontId="3" type="noConversion"/>
  </si>
  <si>
    <t>總費用合計</t>
    <phoneticPr fontId="3" type="noConversion"/>
  </si>
  <si>
    <t>淨收益</t>
    <phoneticPr fontId="3" type="noConversion"/>
  </si>
  <si>
    <t>房地淨收益</t>
    <phoneticPr fontId="3" type="noConversion"/>
  </si>
  <si>
    <t>建物收益資本化率</t>
    <phoneticPr fontId="3" type="noConversion"/>
  </si>
  <si>
    <t>建物淨收益</t>
    <phoneticPr fontId="3" type="noConversion"/>
  </si>
  <si>
    <t>不屬於不動產所產生其他淨收益之扣減</t>
    <phoneticPr fontId="3" type="noConversion"/>
  </si>
  <si>
    <t>土地收益資本化率</t>
    <phoneticPr fontId="3" type="noConversion"/>
  </si>
  <si>
    <t>土地收益資本化率決定理由</t>
    <phoneticPr fontId="3" type="noConversion"/>
  </si>
  <si>
    <t>收益實例編號</t>
    <phoneticPr fontId="3" type="noConversion"/>
  </si>
  <si>
    <t>地價區段號</t>
    <phoneticPr fontId="3" type="noConversion"/>
  </si>
  <si>
    <t>收益實例總租金(元/月)</t>
    <phoneticPr fontId="3" type="noConversion"/>
  </si>
  <si>
    <t>收益實例月租金(元/㎡)</t>
    <phoneticPr fontId="3" type="noConversion"/>
  </si>
  <si>
    <t>租金型態</t>
    <phoneticPr fontId="3" type="noConversion"/>
  </si>
  <si>
    <t>情況
調整</t>
    <phoneticPr fontId="3" type="noConversion"/>
  </si>
  <si>
    <t>價格日期調整</t>
    <phoneticPr fontId="3" type="noConversion"/>
  </si>
  <si>
    <t>區域因素調整</t>
    <phoneticPr fontId="3" type="noConversion"/>
  </si>
  <si>
    <t>調整率絕對值加總</t>
    <phoneticPr fontId="3" type="noConversion"/>
  </si>
  <si>
    <t>比較項目修正數</t>
    <phoneticPr fontId="3" type="noConversion"/>
  </si>
  <si>
    <t>決定
權重</t>
    <phoneticPr fontId="3" type="noConversion"/>
  </si>
  <si>
    <t>登錄租金</t>
    <phoneticPr fontId="3" type="noConversion"/>
  </si>
  <si>
    <t>P041-00</t>
    <phoneticPr fontId="3" type="noConversion"/>
  </si>
  <si>
    <t>待租價</t>
    <phoneticPr fontId="3" type="noConversion"/>
  </si>
  <si>
    <t>P042-00</t>
    <phoneticPr fontId="3" type="noConversion"/>
  </si>
  <si>
    <t>詢問租金</t>
    <phoneticPr fontId="3" type="noConversion"/>
  </si>
  <si>
    <t>備註欄</t>
    <phoneticPr fontId="3" type="noConversion"/>
  </si>
  <si>
    <t>35等地號</t>
    <phoneticPr fontId="3" type="noConversion"/>
  </si>
  <si>
    <t>建物收益資本化率決定理由</t>
    <phoneticPr fontId="3" type="noConversion"/>
  </si>
  <si>
    <t>試算租金(元/㎡)</t>
    <phoneticPr fontId="3" type="noConversion"/>
  </si>
  <si>
    <r>
      <t>推估月租金</t>
    </r>
    <r>
      <rPr>
        <sz val="10"/>
        <rFont val="Times New Roman"/>
        <family val="1"/>
      </rPr>
      <t/>
    </r>
    <phoneticPr fontId="3" type="noConversion"/>
  </si>
  <si>
    <r>
      <t>收益面積</t>
    </r>
    <r>
      <rPr>
        <sz val="14"/>
        <rFont val="Times New Roman"/>
        <family val="1"/>
      </rPr>
      <t>(M</t>
    </r>
    <r>
      <rPr>
        <vertAlign val="superscript"/>
        <sz val="14"/>
        <rFont val="Times New Roman"/>
        <family val="1"/>
      </rPr>
      <t>2</t>
    </r>
    <r>
      <rPr>
        <sz val="14"/>
        <rFont val="Times New Roman"/>
        <family val="1"/>
      </rPr>
      <t>)</t>
    </r>
    <phoneticPr fontId="3" type="noConversion"/>
  </si>
  <si>
    <r>
      <t>土地持分面積</t>
    </r>
    <r>
      <rPr>
        <sz val="14"/>
        <rFont val="Times New Roman"/>
        <family val="1"/>
      </rPr>
      <t>(M</t>
    </r>
    <r>
      <rPr>
        <vertAlign val="superscript"/>
        <sz val="14"/>
        <rFont val="Times New Roman"/>
        <family val="1"/>
      </rPr>
      <t>2</t>
    </r>
    <r>
      <rPr>
        <sz val="14"/>
        <rFont val="Times New Roman"/>
        <family val="1"/>
      </rPr>
      <t>)</t>
    </r>
    <phoneticPr fontId="3" type="noConversion"/>
  </si>
  <si>
    <r>
      <t>年租金</t>
    </r>
    <r>
      <rPr>
        <sz val="14"/>
        <rFont val="Times New Roman"/>
        <family val="1"/>
      </rPr>
      <t>(</t>
    </r>
    <r>
      <rPr>
        <sz val="14"/>
        <rFont val="標楷體"/>
        <family val="4"/>
        <charset val="136"/>
      </rPr>
      <t>月租金</t>
    </r>
    <r>
      <rPr>
        <sz val="14"/>
        <rFont val="Times New Roman"/>
        <family val="1"/>
      </rPr>
      <t>x12+</t>
    </r>
    <r>
      <rPr>
        <sz val="14"/>
        <rFont val="標楷體"/>
        <family val="4"/>
        <charset val="136"/>
      </rPr>
      <t>權利金</t>
    </r>
    <r>
      <rPr>
        <sz val="14"/>
        <rFont val="Times New Roman"/>
        <family val="1"/>
      </rPr>
      <t>xMC)x</t>
    </r>
    <r>
      <rPr>
        <sz val="14"/>
        <rFont val="標楷體"/>
        <family val="4"/>
        <charset val="136"/>
      </rPr>
      <t>面積</t>
    </r>
    <phoneticPr fontId="3" type="noConversion"/>
  </si>
  <si>
    <r>
      <t>押租金</t>
    </r>
    <r>
      <rPr>
        <sz val="14"/>
        <rFont val="Times New Roman"/>
        <family val="1"/>
      </rPr>
      <t>(</t>
    </r>
    <r>
      <rPr>
        <sz val="14"/>
        <rFont val="標楷體"/>
        <family val="4"/>
        <charset val="136"/>
      </rPr>
      <t>保證金</t>
    </r>
    <r>
      <rPr>
        <sz val="14"/>
        <rFont val="Times New Roman"/>
        <family val="1"/>
      </rPr>
      <t>)</t>
    </r>
    <phoneticPr fontId="3" type="noConversion"/>
  </si>
  <si>
    <r>
      <t>一年期定存利率</t>
    </r>
    <r>
      <rPr>
        <sz val="14"/>
        <rFont val="Times New Roman"/>
        <family val="1"/>
      </rPr>
      <t>(%)</t>
    </r>
    <phoneticPr fontId="3" type="noConversion"/>
  </si>
  <si>
    <r>
      <t>押租金</t>
    </r>
    <r>
      <rPr>
        <sz val="14"/>
        <rFont val="Times New Roman"/>
        <family val="1"/>
      </rPr>
      <t>(</t>
    </r>
    <r>
      <rPr>
        <sz val="14"/>
        <rFont val="標楷體"/>
        <family val="4"/>
        <charset val="136"/>
      </rPr>
      <t>保證金</t>
    </r>
    <r>
      <rPr>
        <sz val="14"/>
        <rFont val="Times New Roman"/>
        <family val="1"/>
      </rPr>
      <t>)</t>
    </r>
    <r>
      <rPr>
        <sz val="14"/>
        <rFont val="標楷體"/>
        <family val="4"/>
        <charset val="136"/>
      </rPr>
      <t>運用收益</t>
    </r>
    <phoneticPr fontId="3" type="noConversion"/>
  </si>
  <si>
    <r>
      <t>地價稅或地租</t>
    </r>
    <r>
      <rPr>
        <sz val="14"/>
        <rFont val="Times New Roman"/>
        <family val="1"/>
      </rPr>
      <t xml:space="preserve">                 </t>
    </r>
    <phoneticPr fontId="3" type="noConversion"/>
  </si>
  <si>
    <r>
      <t>依據不動產估價技術規則第</t>
    </r>
    <r>
      <rPr>
        <sz val="14"/>
        <color indexed="12"/>
        <rFont val="Times New Roman"/>
        <family val="1"/>
      </rPr>
      <t>43</t>
    </r>
    <r>
      <rPr>
        <sz val="14"/>
        <color indexed="12"/>
        <rFont val="標楷體"/>
        <family val="4"/>
        <charset val="136"/>
      </rPr>
      <t>條第</t>
    </r>
    <r>
      <rPr>
        <sz val="14"/>
        <color indexed="12"/>
        <rFont val="Times New Roman"/>
        <family val="1"/>
      </rPr>
      <t>1</t>
    </r>
    <r>
      <rPr>
        <sz val="14"/>
        <color indexed="12"/>
        <rFont val="標楷體"/>
        <family val="4"/>
        <charset val="136"/>
      </rPr>
      <t>款規定推估。</t>
    </r>
    <phoneticPr fontId="3" type="noConversion"/>
  </si>
  <si>
    <r>
      <t>依據不動產估價技術規則第</t>
    </r>
    <r>
      <rPr>
        <sz val="14"/>
        <color indexed="12"/>
        <rFont val="Times New Roman"/>
        <family val="1"/>
      </rPr>
      <t>43</t>
    </r>
    <r>
      <rPr>
        <sz val="14"/>
        <color indexed="12"/>
        <rFont val="標楷體"/>
        <family val="4"/>
        <charset val="136"/>
      </rPr>
      <t>條第</t>
    </r>
    <r>
      <rPr>
        <sz val="14"/>
        <color indexed="12"/>
        <rFont val="Times New Roman"/>
        <family val="1"/>
      </rPr>
      <t>2</t>
    </r>
    <r>
      <rPr>
        <sz val="14"/>
        <color indexed="12"/>
        <rFont val="標楷體"/>
        <family val="4"/>
        <charset val="136"/>
      </rPr>
      <t>款規定推估。</t>
    </r>
    <phoneticPr fontId="3" type="noConversion"/>
  </si>
  <si>
    <r>
      <t>土地收益總價格</t>
    </r>
    <r>
      <rPr>
        <sz val="14"/>
        <rFont val="Times New Roman"/>
        <family val="1"/>
      </rPr>
      <t>(</t>
    </r>
    <r>
      <rPr>
        <sz val="14"/>
        <rFont val="標楷體"/>
        <family val="4"/>
        <charset val="136"/>
      </rPr>
      <t>元</t>
    </r>
    <r>
      <rPr>
        <sz val="14"/>
        <rFont val="Times New Roman"/>
        <family val="1"/>
      </rPr>
      <t>)</t>
    </r>
    <phoneticPr fontId="3" type="noConversion"/>
  </si>
  <si>
    <r>
      <t>土地收益單價</t>
    </r>
    <r>
      <rPr>
        <sz val="14"/>
        <rFont val="Times New Roman"/>
        <family val="1"/>
      </rPr>
      <t>(</t>
    </r>
    <r>
      <rPr>
        <sz val="14"/>
        <rFont val="標楷體"/>
        <family val="4"/>
        <charset val="136"/>
      </rPr>
      <t>元</t>
    </r>
    <r>
      <rPr>
        <sz val="14"/>
        <rFont val="Times New Roman"/>
        <family val="1"/>
      </rPr>
      <t>/M</t>
    </r>
    <r>
      <rPr>
        <vertAlign val="superscript"/>
        <sz val="14"/>
        <rFont val="Times New Roman"/>
        <family val="1"/>
      </rPr>
      <t>2</t>
    </r>
    <r>
      <rPr>
        <sz val="14"/>
        <rFont val="Times New Roman"/>
        <family val="1"/>
      </rPr>
      <t xml:space="preserve">)    </t>
    </r>
    <phoneticPr fontId="3" type="noConversion"/>
  </si>
  <si>
    <r>
      <t>考慮樓層別調整基地收益單價</t>
    </r>
    <r>
      <rPr>
        <sz val="14"/>
        <color indexed="21"/>
        <rFont val="Times New Roman"/>
        <family val="1"/>
      </rPr>
      <t>(</t>
    </r>
    <r>
      <rPr>
        <sz val="14"/>
        <color indexed="21"/>
        <rFont val="標楷體"/>
        <family val="4"/>
        <charset val="136"/>
      </rPr>
      <t>元</t>
    </r>
    <r>
      <rPr>
        <sz val="14"/>
        <color indexed="21"/>
        <rFont val="Times New Roman"/>
        <family val="1"/>
      </rPr>
      <t>/M</t>
    </r>
    <r>
      <rPr>
        <vertAlign val="superscript"/>
        <sz val="14"/>
        <color indexed="21"/>
        <rFont val="Times New Roman"/>
        <family val="1"/>
      </rPr>
      <t>2</t>
    </r>
    <r>
      <rPr>
        <sz val="14"/>
        <color indexed="21"/>
        <rFont val="Times New Roman"/>
        <family val="1"/>
      </rPr>
      <t xml:space="preserve">)    </t>
    </r>
    <phoneticPr fontId="3" type="noConversion"/>
  </si>
  <si>
    <r>
      <t>標的收益面積</t>
    </r>
    <r>
      <rPr>
        <sz val="14"/>
        <rFont val="Times New Roman"/>
        <family val="1"/>
      </rPr>
      <t>(</t>
    </r>
    <r>
      <rPr>
        <sz val="14"/>
        <rFont val="標楷體"/>
        <family val="4"/>
        <charset val="136"/>
      </rPr>
      <t>㎡</t>
    </r>
    <r>
      <rPr>
        <sz val="14"/>
        <rFont val="Times New Roman"/>
        <family val="1"/>
      </rPr>
      <t>)</t>
    </r>
    <phoneticPr fontId="3" type="noConversion"/>
  </si>
  <si>
    <r>
      <t>租金形成日期</t>
    </r>
    <r>
      <rPr>
        <sz val="14"/>
        <rFont val="Times New Roman"/>
        <family val="1"/>
      </rPr>
      <t xml:space="preserve">  </t>
    </r>
    <phoneticPr fontId="3" type="noConversion"/>
  </si>
  <si>
    <r>
      <t>推估月租金</t>
    </r>
    <r>
      <rPr>
        <sz val="14"/>
        <rFont val="Times New Roman"/>
        <family val="1"/>
      </rPr>
      <t>(</t>
    </r>
    <r>
      <rPr>
        <sz val="14"/>
        <rFont val="標楷體"/>
        <family val="4"/>
        <charset val="136"/>
      </rPr>
      <t>元</t>
    </r>
    <r>
      <rPr>
        <sz val="14"/>
        <rFont val="Times New Roman"/>
        <family val="1"/>
      </rPr>
      <t>/</t>
    </r>
    <r>
      <rPr>
        <sz val="14"/>
        <rFont val="標楷體"/>
        <family val="4"/>
        <charset val="136"/>
      </rPr>
      <t>㎡</t>
    </r>
    <r>
      <rPr>
        <sz val="14"/>
        <rFont val="Times New Roman"/>
        <family val="1"/>
      </rPr>
      <t>)</t>
    </r>
    <phoneticPr fontId="3" type="noConversion"/>
  </si>
  <si>
    <r>
      <t>收益實例依第</t>
    </r>
    <r>
      <rPr>
        <sz val="14"/>
        <rFont val="Times New Roman"/>
        <family val="1"/>
      </rPr>
      <t>7</t>
    </r>
    <r>
      <rPr>
        <sz val="14"/>
        <rFont val="標楷體"/>
        <family val="4"/>
        <charset val="136"/>
      </rPr>
      <t>條、第</t>
    </r>
    <r>
      <rPr>
        <sz val="14"/>
        <rFont val="Times New Roman"/>
        <family val="1"/>
      </rPr>
      <t>8</t>
    </r>
    <r>
      <rPr>
        <sz val="14"/>
        <rFont val="標楷體"/>
        <family val="4"/>
        <charset val="136"/>
      </rPr>
      <t>條修正說明</t>
    </r>
    <phoneticPr fontId="3" type="noConversion"/>
  </si>
  <si>
    <r>
      <t>編號</t>
    </r>
    <r>
      <rPr>
        <sz val="14"/>
        <color indexed="12"/>
        <rFont val="Times New Roman"/>
        <family val="1"/>
      </rPr>
      <t>7</t>
    </r>
    <r>
      <rPr>
        <sz val="14"/>
        <color indexed="12"/>
        <rFont val="標楷體"/>
        <family val="4"/>
        <charset val="136"/>
      </rPr>
      <t>：待租租金，較鄰近正常租金偏高，參酌正常租金行情酌予調整</t>
    </r>
    <r>
      <rPr>
        <sz val="14"/>
        <color indexed="12"/>
        <rFont val="Times New Roman"/>
        <family val="1"/>
      </rPr>
      <t>-5%</t>
    </r>
    <r>
      <rPr>
        <sz val="14"/>
        <color indexed="12"/>
        <rFont val="標楷體"/>
        <family val="4"/>
        <charset val="136"/>
      </rPr>
      <t>。編號</t>
    </r>
    <r>
      <rPr>
        <sz val="14"/>
        <color indexed="12"/>
        <rFont val="Times New Roman"/>
        <family val="1"/>
      </rPr>
      <t>8</t>
    </r>
    <r>
      <rPr>
        <sz val="14"/>
        <color indexed="12"/>
        <rFont val="標楷體"/>
        <family val="4"/>
        <charset val="136"/>
      </rPr>
      <t>：親友關係人間之交易，較正常租金偏低，酌予調整</t>
    </r>
    <r>
      <rPr>
        <sz val="14"/>
        <color indexed="12"/>
        <rFont val="Times New Roman"/>
        <family val="1"/>
      </rPr>
      <t>+2%</t>
    </r>
    <r>
      <rPr>
        <sz val="14"/>
        <color indexed="12"/>
        <rFont val="標楷體"/>
        <family val="4"/>
        <charset val="136"/>
      </rPr>
      <t>。</t>
    </r>
    <phoneticPr fontId="3" type="noConversion"/>
  </si>
  <si>
    <t>表1-1  買賣實例調查估價表</t>
    <phoneticPr fontId="3" type="noConversion"/>
  </si>
  <si>
    <t>實例門牌</t>
    <phoneticPr fontId="3" type="noConversion"/>
  </si>
  <si>
    <r>
      <t>填寫日期：</t>
    </r>
    <r>
      <rPr>
        <sz val="12"/>
        <color indexed="8"/>
        <rFont val="Times New Roman"/>
        <family val="1"/>
      </rPr>
      <t xml:space="preserve">      </t>
    </r>
    <r>
      <rPr>
        <sz val="12"/>
        <color indexed="8"/>
        <rFont val="標楷體"/>
        <family val="4"/>
        <charset val="136"/>
      </rPr>
      <t>年</t>
    </r>
    <r>
      <rPr>
        <sz val="12"/>
        <color indexed="8"/>
        <rFont val="Times New Roman"/>
        <family val="1"/>
      </rPr>
      <t xml:space="preserve">      </t>
    </r>
    <r>
      <rPr>
        <sz val="12"/>
        <color indexed="8"/>
        <rFont val="標楷體"/>
        <family val="4"/>
        <charset val="136"/>
      </rPr>
      <t>月</t>
    </r>
    <r>
      <rPr>
        <sz val="12"/>
        <color indexed="8"/>
        <rFont val="Times New Roman"/>
        <family val="1"/>
      </rPr>
      <t xml:space="preserve">      </t>
    </r>
    <r>
      <rPr>
        <sz val="12"/>
        <color indexed="8"/>
        <rFont val="標楷體"/>
        <family val="4"/>
        <charset val="136"/>
      </rPr>
      <t>日</t>
    </r>
    <r>
      <rPr>
        <sz val="12"/>
        <color indexed="8"/>
        <rFont val="Times New Roman"/>
        <family val="1"/>
      </rPr>
      <t xml:space="preserve">       </t>
    </r>
    <r>
      <rPr>
        <sz val="12"/>
        <color indexed="8"/>
        <rFont val="標楷體"/>
        <family val="4"/>
        <charset val="136"/>
      </rPr>
      <t>承辦員：　</t>
    </r>
    <r>
      <rPr>
        <sz val="12"/>
        <color indexed="8"/>
        <rFont val="Times New Roman"/>
        <family val="1"/>
      </rPr>
      <t xml:space="preserve">                         </t>
    </r>
    <r>
      <rPr>
        <sz val="12"/>
        <color indexed="8"/>
        <rFont val="標楷體"/>
        <family val="4"/>
        <charset val="136"/>
      </rPr>
      <t>　課（股）長：　</t>
    </r>
    <r>
      <rPr>
        <sz val="12"/>
        <color indexed="8"/>
        <rFont val="Times New Roman"/>
        <family val="1"/>
      </rPr>
      <t xml:space="preserve">                           </t>
    </r>
    <r>
      <rPr>
        <sz val="12"/>
        <color indexed="8"/>
        <rFont val="標楷體"/>
        <family val="4"/>
        <charset val="136"/>
      </rPr>
      <t>　主任（局、處長）：　</t>
    </r>
    <r>
      <rPr>
        <sz val="12"/>
        <color indexed="8"/>
        <rFont val="Times New Roman"/>
        <family val="1"/>
      </rPr>
      <t xml:space="preserve"> </t>
    </r>
    <phoneticPr fontId="3" type="noConversion"/>
  </si>
  <si>
    <t>不動產估價師：</t>
    <phoneticPr fontId="3" type="noConversion"/>
  </si>
  <si>
    <r>
      <t>填寫日期：</t>
    </r>
    <r>
      <rPr>
        <sz val="14"/>
        <color indexed="8"/>
        <rFont val="Times New Roman"/>
        <family val="1"/>
      </rPr>
      <t xml:space="preserve">      </t>
    </r>
    <r>
      <rPr>
        <sz val="14"/>
        <color indexed="8"/>
        <rFont val="標楷體"/>
        <family val="4"/>
        <charset val="136"/>
      </rPr>
      <t>年</t>
    </r>
    <r>
      <rPr>
        <sz val="14"/>
        <color indexed="8"/>
        <rFont val="Times New Roman"/>
        <family val="1"/>
      </rPr>
      <t xml:space="preserve">      </t>
    </r>
    <r>
      <rPr>
        <sz val="14"/>
        <color indexed="8"/>
        <rFont val="標楷體"/>
        <family val="4"/>
        <charset val="136"/>
      </rPr>
      <t>月</t>
    </r>
    <r>
      <rPr>
        <sz val="14"/>
        <color indexed="8"/>
        <rFont val="Times New Roman"/>
        <family val="1"/>
      </rPr>
      <t xml:space="preserve">      </t>
    </r>
    <r>
      <rPr>
        <sz val="14"/>
        <color indexed="8"/>
        <rFont val="標楷體"/>
        <family val="4"/>
        <charset val="136"/>
      </rPr>
      <t>日</t>
    </r>
    <r>
      <rPr>
        <sz val="14"/>
        <color indexed="8"/>
        <rFont val="Times New Roman"/>
        <family val="1"/>
      </rPr>
      <t xml:space="preserve">         </t>
    </r>
    <r>
      <rPr>
        <sz val="14"/>
        <color indexed="8"/>
        <rFont val="標楷體"/>
        <family val="4"/>
        <charset val="136"/>
      </rPr>
      <t>承辦員：　</t>
    </r>
    <r>
      <rPr>
        <sz val="14"/>
        <color indexed="8"/>
        <rFont val="Times New Roman"/>
        <family val="1"/>
      </rPr>
      <t xml:space="preserve">                         </t>
    </r>
    <r>
      <rPr>
        <sz val="14"/>
        <color indexed="8"/>
        <rFont val="標楷體"/>
        <family val="4"/>
        <charset val="136"/>
      </rPr>
      <t>　　課（股）長：　</t>
    </r>
    <r>
      <rPr>
        <sz val="14"/>
        <color indexed="8"/>
        <rFont val="Times New Roman"/>
        <family val="1"/>
      </rPr>
      <t xml:space="preserve">                           </t>
    </r>
    <r>
      <rPr>
        <sz val="14"/>
        <color indexed="8"/>
        <rFont val="標楷體"/>
        <family val="4"/>
        <charset val="136"/>
      </rPr>
      <t>　主任（局、處長）：　</t>
    </r>
    <r>
      <rPr>
        <sz val="14"/>
        <color indexed="8"/>
        <rFont val="Times New Roman"/>
        <family val="1"/>
      </rPr>
      <t xml:space="preserve"> </t>
    </r>
    <phoneticPr fontId="3" type="noConversion"/>
  </si>
  <si>
    <t>水污染、噪音污染、廢氣污染、廢棄物污染等之有無及接近程度</t>
    <phoneticPr fontId="3" type="noConversion"/>
  </si>
  <si>
    <t xml:space="preserve"> 填寫日期：      年      月      日   承辦員：　  　    　　課（股）長：               　主任（局、處長）：　 　　    　 　  </t>
    <phoneticPr fontId="3" type="noConversion"/>
  </si>
  <si>
    <t xml:space="preserve">     不動產估價師：</t>
    <phoneticPr fontId="3" type="noConversion"/>
  </si>
  <si>
    <t>結</t>
    <phoneticPr fontId="3" type="noConversion"/>
  </si>
  <si>
    <t>果</t>
    <phoneticPr fontId="3" type="noConversion"/>
  </si>
  <si>
    <t>填寫日期：   年   月   日    承辦員：                 課（股）長：                主任（局、處長）：</t>
    <phoneticPr fontId="3" type="noConversion"/>
  </si>
  <si>
    <t xml:space="preserve">                  不動產估價師：</t>
    <phoneticPr fontId="3" type="noConversion"/>
  </si>
  <si>
    <t>填寫日期：   年   月   日    承辦員：                 課（股）長：                  主任（局、處長）：</t>
    <phoneticPr fontId="3" type="noConversion"/>
  </si>
  <si>
    <t xml:space="preserve">               不動產估價師：</t>
    <phoneticPr fontId="3" type="noConversion"/>
  </si>
  <si>
    <r>
      <t>填寫日期：　年　月　日</t>
    </r>
    <r>
      <rPr>
        <sz val="10"/>
        <rFont val="Times New Roman"/>
        <family val="1"/>
      </rPr>
      <t xml:space="preserve">          </t>
    </r>
    <r>
      <rPr>
        <sz val="10"/>
        <rFont val="標楷體"/>
        <family val="4"/>
        <charset val="136"/>
      </rPr>
      <t>承辦員：</t>
    </r>
    <r>
      <rPr>
        <sz val="10"/>
        <rFont val="Times New Roman"/>
        <family val="1"/>
      </rPr>
      <t xml:space="preserve">                    </t>
    </r>
    <r>
      <rPr>
        <sz val="10"/>
        <rFont val="標楷體"/>
        <family val="4"/>
        <charset val="136"/>
      </rPr>
      <t>　</t>
    </r>
    <r>
      <rPr>
        <sz val="10"/>
        <rFont val="Times New Roman"/>
        <family val="1"/>
      </rPr>
      <t xml:space="preserve">   </t>
    </r>
    <r>
      <rPr>
        <sz val="10"/>
        <rFont val="標楷體"/>
        <family val="4"/>
        <charset val="136"/>
      </rPr>
      <t>　　課（股）長：　</t>
    </r>
    <r>
      <rPr>
        <sz val="10"/>
        <rFont val="Times New Roman"/>
        <family val="1"/>
      </rPr>
      <t xml:space="preserve">                          </t>
    </r>
    <r>
      <rPr>
        <sz val="10"/>
        <rFont val="標楷體"/>
        <family val="4"/>
        <charset val="136"/>
      </rPr>
      <t>　主任（局、處長）：　</t>
    </r>
    <phoneticPr fontId="3" type="noConversion"/>
  </si>
  <si>
    <r>
      <t>BRL</t>
    </r>
    <r>
      <rPr>
        <sz val="6"/>
        <rFont val="Times New Roman"/>
        <family val="1"/>
      </rPr>
      <t>1</t>
    </r>
    <phoneticPr fontId="3" type="noConversion"/>
  </si>
  <si>
    <r>
      <t>BRL</t>
    </r>
    <r>
      <rPr>
        <sz val="6"/>
        <rFont val="Times New Roman"/>
        <family val="1"/>
      </rPr>
      <t>2</t>
    </r>
    <phoneticPr fontId="3" type="noConversion"/>
  </si>
  <si>
    <r>
      <t>BRH</t>
    </r>
    <r>
      <rPr>
        <sz val="6"/>
        <rFont val="Times New Roman"/>
        <family val="1"/>
      </rPr>
      <t>1</t>
    </r>
    <phoneticPr fontId="3" type="noConversion"/>
  </si>
  <si>
    <r>
      <t>BRH</t>
    </r>
    <r>
      <rPr>
        <sz val="6"/>
        <rFont val="Times New Roman"/>
        <family val="1"/>
      </rPr>
      <t>2</t>
    </r>
    <phoneticPr fontId="3" type="noConversion"/>
  </si>
  <si>
    <r>
      <t>推估月租金</t>
    </r>
    <r>
      <rPr>
        <sz val="14"/>
        <rFont val="Times New Roman"/>
        <family val="1"/>
      </rPr>
      <t>(</t>
    </r>
    <r>
      <rPr>
        <sz val="14"/>
        <rFont val="標楷體"/>
        <family val="4"/>
        <charset val="136"/>
      </rPr>
      <t>元</t>
    </r>
    <r>
      <rPr>
        <sz val="14"/>
        <rFont val="Times New Roman"/>
        <family val="1"/>
      </rPr>
      <t>/M</t>
    </r>
    <r>
      <rPr>
        <vertAlign val="superscript"/>
        <sz val="14"/>
        <rFont val="Times New Roman"/>
        <family val="1"/>
      </rPr>
      <t>2</t>
    </r>
    <r>
      <rPr>
        <sz val="14"/>
        <rFont val="Times New Roman"/>
        <family val="1"/>
      </rPr>
      <t>)</t>
    </r>
    <phoneticPr fontId="3" type="noConversion"/>
  </si>
  <si>
    <t>使用分區(使用地類別)</t>
    <phoneticPr fontId="3" type="noConversion"/>
  </si>
  <si>
    <r>
      <t>特殊設施</t>
    </r>
    <r>
      <rPr>
        <sz val="10"/>
        <rFont val="Times New Roman"/>
        <family val="1"/>
      </rPr>
      <t>(6)</t>
    </r>
  </si>
  <si>
    <t>方形</t>
    <phoneticPr fontId="3" type="noConversion"/>
  </si>
  <si>
    <r>
      <t>比準地地價(元/M</t>
    </r>
    <r>
      <rPr>
        <vertAlign val="superscript"/>
        <sz val="10"/>
        <color indexed="56"/>
        <rFont val="標楷體"/>
        <family val="4"/>
        <charset val="136"/>
      </rPr>
      <t>2</t>
    </r>
    <r>
      <rPr>
        <sz val="10"/>
        <color indexed="56"/>
        <rFont val="標楷體"/>
        <family val="4"/>
        <charset val="136"/>
      </rPr>
      <t>)</t>
    </r>
    <phoneticPr fontId="3" type="noConversion"/>
  </si>
  <si>
    <t>表11-2  市價變動幅度計算表</t>
    <phoneticPr fontId="3" type="noConversion"/>
  </si>
  <si>
    <t>作業分區：</t>
    <phoneticPr fontId="3" type="noConversion"/>
  </si>
  <si>
    <r>
      <t>作業分區</t>
    </r>
    <r>
      <rPr>
        <sz val="11"/>
        <rFont val="新細明體"/>
        <family val="1"/>
        <charset val="136"/>
      </rPr>
      <t>：</t>
    </r>
    <phoneticPr fontId="3" type="noConversion"/>
  </si>
  <si>
    <t>表11-2   市價變動幅度計算表</t>
    <phoneticPr fontId="3" type="noConversion"/>
  </si>
  <si>
    <t>作業分區：</t>
    <phoneticPr fontId="3" type="noConversion"/>
  </si>
  <si>
    <r>
      <t>調整後區段地價   （元/M</t>
    </r>
    <r>
      <rPr>
        <vertAlign val="superscript"/>
        <sz val="16"/>
        <rFont val="標楷體"/>
        <family val="4"/>
        <charset val="136"/>
      </rPr>
      <t>2</t>
    </r>
    <r>
      <rPr>
        <sz val="16"/>
        <rFont val="標楷體"/>
        <family val="4"/>
        <charset val="136"/>
      </rPr>
      <t>）</t>
    </r>
    <phoneticPr fontId="3" type="noConversion"/>
  </si>
  <si>
    <t>毗鄰各非公共設施保留地地價區段</t>
    <phoneticPr fontId="3" type="noConversion"/>
  </si>
  <si>
    <t xml:space="preserve"> </t>
    <phoneticPr fontId="3" type="noConversion"/>
  </si>
  <si>
    <t>○○路○○號○樓</t>
    <phoneticPr fontId="3" type="noConversion"/>
  </si>
  <si>
    <t>○○</t>
    <phoneticPr fontId="3" type="noConversion"/>
  </si>
  <si>
    <r>
      <t>104</t>
    </r>
    <r>
      <rPr>
        <sz val="14"/>
        <color indexed="12"/>
        <rFont val="標楷體"/>
        <family val="4"/>
        <charset val="136"/>
      </rPr>
      <t>年</t>
    </r>
    <r>
      <rPr>
        <sz val="14"/>
        <color indexed="12"/>
        <rFont val="Times New Roman"/>
        <family val="1"/>
      </rPr>
      <t>03</t>
    </r>
    <r>
      <rPr>
        <sz val="14"/>
        <color indexed="12"/>
        <rFont val="標楷體"/>
        <family val="4"/>
        <charset val="136"/>
      </rPr>
      <t>月</t>
    </r>
    <r>
      <rPr>
        <sz val="14"/>
        <color indexed="12"/>
        <rFont val="Times New Roman"/>
        <family val="1"/>
      </rPr>
      <t>01</t>
    </r>
    <r>
      <rPr>
        <sz val="14"/>
        <color indexed="12"/>
        <rFont val="標楷體"/>
        <family val="4"/>
        <charset val="136"/>
      </rPr>
      <t>日</t>
    </r>
    <phoneticPr fontId="3" type="noConversion"/>
  </si>
  <si>
    <r>
      <t>重建成本</t>
    </r>
    <r>
      <rPr>
        <sz val="12"/>
        <rFont val="Times New Roman"/>
        <family val="1"/>
      </rPr>
      <t>× (1-</t>
    </r>
    <r>
      <rPr>
        <sz val="12"/>
        <rFont val="標楷體"/>
        <family val="4"/>
        <charset val="136"/>
      </rPr>
      <t>殘價率</t>
    </r>
    <r>
      <rPr>
        <sz val="12"/>
        <rFont val="Times New Roman"/>
        <family val="1"/>
      </rPr>
      <t>)÷</t>
    </r>
    <r>
      <rPr>
        <sz val="12"/>
        <rFont val="標楷體"/>
        <family val="4"/>
        <charset val="136"/>
      </rPr>
      <t>總耐用年數</t>
    </r>
    <r>
      <rPr>
        <sz val="12"/>
        <rFont val="Times New Roman"/>
        <family val="1"/>
      </rPr>
      <t>×</t>
    </r>
    <r>
      <rPr>
        <sz val="12"/>
        <rFont val="標楷體"/>
        <family val="4"/>
        <charset val="136"/>
      </rPr>
      <t>已經歷年數</t>
    </r>
    <phoneticPr fontId="3" type="noConversion"/>
  </si>
  <si>
    <t>建築基地改良（整平或填挖基地、開挖水溝、水土保持、鋪築道路、埋設管道、修築駁嵌等）或其他改良</t>
    <phoneticPr fontId="3" type="noConversion"/>
  </si>
  <si>
    <r>
      <t>土地改良</t>
    </r>
    <r>
      <rPr>
        <sz val="10"/>
        <rFont val="Times New Roman"/>
        <family val="1"/>
      </rPr>
      <t>(4)</t>
    </r>
    <phoneticPr fontId="3" type="noConversion"/>
  </si>
  <si>
    <r>
      <t>6</t>
    </r>
    <r>
      <rPr>
        <sz val="10"/>
        <rFont val="標楷體"/>
        <family val="4"/>
        <charset val="136"/>
      </rPr>
      <t>其他</t>
    </r>
    <phoneticPr fontId="3" type="noConversion"/>
  </si>
  <si>
    <t>共有土地共有人及對應持分附表</t>
    <phoneticPr fontId="3" type="noConversion"/>
  </si>
  <si>
    <r>
      <rPr>
        <sz val="10"/>
        <color indexed="12"/>
        <rFont val="細明體"/>
        <family val="3"/>
        <charset val="136"/>
      </rPr>
      <t>合併為</t>
    </r>
    <r>
      <rPr>
        <sz val="10"/>
        <color indexed="12"/>
        <rFont val="Times New Roman"/>
        <family val="1"/>
      </rPr>
      <t>0006</t>
    </r>
    <phoneticPr fontId="3" type="noConversion"/>
  </si>
  <si>
    <t>土地所有權人或管理人</t>
    <phoneticPr fontId="3" type="noConversion"/>
  </si>
  <si>
    <r>
      <t>丁四等</t>
    </r>
    <r>
      <rPr>
        <sz val="10"/>
        <color indexed="12"/>
        <rFont val="Times New Roman"/>
        <family val="1"/>
      </rPr>
      <t>4</t>
    </r>
    <r>
      <rPr>
        <sz val="10"/>
        <color indexed="12"/>
        <rFont val="細明體"/>
        <family val="3"/>
        <charset val="136"/>
      </rPr>
      <t>人</t>
    </r>
  </si>
  <si>
    <t>持分</t>
    <phoneticPr fontId="3" type="noConversion"/>
  </si>
  <si>
    <t>丙三</t>
    <phoneticPr fontId="3" type="noConversion"/>
  </si>
  <si>
    <t>1/2</t>
    <phoneticPr fontId="3" type="noConversion"/>
  </si>
  <si>
    <t>1/4</t>
    <phoneticPr fontId="3" type="noConversion"/>
  </si>
  <si>
    <t>丁四</t>
    <phoneticPr fontId="3" type="noConversion"/>
  </si>
  <si>
    <t>丁五</t>
    <phoneticPr fontId="3" type="noConversion"/>
  </si>
  <si>
    <t>丁一</t>
    <phoneticPr fontId="3" type="noConversion"/>
  </si>
  <si>
    <t>丁二</t>
    <phoneticPr fontId="3" type="noConversion"/>
  </si>
  <si>
    <r>
      <t>10</t>
    </r>
    <r>
      <rPr>
        <sz val="10"/>
        <rFont val="標楷體"/>
        <family val="4"/>
        <charset val="136"/>
      </rPr>
      <t>形狀</t>
    </r>
    <phoneticPr fontId="3" type="noConversion"/>
  </si>
  <si>
    <r>
      <t>寬度</t>
    </r>
    <r>
      <rPr>
        <sz val="10"/>
        <rFont val="Times New Roman"/>
        <family val="1"/>
      </rPr>
      <t>(M)</t>
    </r>
    <phoneticPr fontId="3" type="noConversion"/>
  </si>
  <si>
    <r>
      <rPr>
        <b/>
        <sz val="18"/>
        <rFont val="標楷體"/>
        <family val="4"/>
        <charset val="136"/>
      </rPr>
      <t>表8-2  公共設施保留地地價加權平均計算表(適用於土地徵收補償市價查估辦法第22條第4項)</t>
    </r>
    <r>
      <rPr>
        <sz val="18"/>
        <rFont val="標楷體"/>
        <family val="4"/>
        <charset val="136"/>
      </rPr>
      <t xml:space="preserve">    </t>
    </r>
    <r>
      <rPr>
        <sz val="14"/>
        <rFont val="標楷體"/>
        <family val="4"/>
        <charset val="136"/>
      </rPr>
      <t xml:space="preserve">    </t>
    </r>
    <phoneticPr fontId="3" type="noConversion"/>
  </si>
  <si>
    <r>
      <rPr>
        <b/>
        <sz val="18"/>
        <rFont val="標楷體"/>
        <family val="4"/>
        <charset val="136"/>
      </rPr>
      <t>表8-1  公共設施保留地地價加權平均計算表</t>
    </r>
    <r>
      <rPr>
        <sz val="18"/>
        <rFont val="標楷體"/>
        <family val="4"/>
        <charset val="136"/>
      </rPr>
      <t xml:space="preserve">    </t>
    </r>
    <r>
      <rPr>
        <sz val="14"/>
        <rFont val="標楷體"/>
        <family val="4"/>
        <charset val="136"/>
      </rPr>
      <t xml:space="preserve">        </t>
    </r>
    <phoneticPr fontId="3" type="noConversion"/>
  </si>
  <si>
    <r>
      <t>現期：</t>
    </r>
    <r>
      <rPr>
        <sz val="11"/>
        <rFont val="Times New Roman"/>
        <family val="1"/>
      </rPr>
      <t>1030902-1040301</t>
    </r>
    <phoneticPr fontId="3" type="noConversion"/>
  </si>
  <si>
    <r>
      <t>單位：元/M</t>
    </r>
    <r>
      <rPr>
        <vertAlign val="superscript"/>
        <sz val="11"/>
        <rFont val="標楷體"/>
        <family val="4"/>
        <charset val="136"/>
      </rPr>
      <t>2</t>
    </r>
    <phoneticPr fontId="3" type="noConversion"/>
  </si>
  <si>
    <r>
      <t>表</t>
    </r>
    <r>
      <rPr>
        <b/>
        <sz val="16"/>
        <rFont val="Times New Roman"/>
        <family val="1"/>
      </rPr>
      <t xml:space="preserve">11-1  </t>
    </r>
    <r>
      <rPr>
        <b/>
        <sz val="16"/>
        <rFont val="標楷體"/>
        <family val="4"/>
        <charset val="136"/>
      </rPr>
      <t>市價變動幅度計算總表</t>
    </r>
    <phoneticPr fontId="3" type="noConversion"/>
  </si>
  <si>
    <r>
      <rPr>
        <b/>
        <sz val="16"/>
        <rFont val="標楷體"/>
        <family val="4"/>
        <charset val="136"/>
      </rPr>
      <t>表</t>
    </r>
    <r>
      <rPr>
        <b/>
        <sz val="16"/>
        <rFont val="Times New Roman"/>
        <family val="1"/>
      </rPr>
      <t xml:space="preserve">2  </t>
    </r>
    <r>
      <rPr>
        <b/>
        <sz val="16"/>
        <rFont val="標楷體"/>
        <family val="4"/>
        <charset val="136"/>
      </rPr>
      <t>收益法調查估價表附表</t>
    </r>
    <r>
      <rPr>
        <b/>
        <sz val="16"/>
        <rFont val="Times New Roman"/>
        <family val="1"/>
      </rPr>
      <t>--</t>
    </r>
    <r>
      <rPr>
        <b/>
        <sz val="16"/>
        <rFont val="標楷體"/>
        <family val="4"/>
        <charset val="136"/>
      </rPr>
      <t>成本法調查估價表</t>
    </r>
    <r>
      <rPr>
        <b/>
        <sz val="16"/>
        <rFont val="Times New Roman"/>
        <family val="1"/>
      </rPr>
      <t xml:space="preserve">                  </t>
    </r>
    <r>
      <rPr>
        <sz val="14"/>
        <rFont val="標楷體"/>
        <family val="4"/>
        <charset val="136"/>
      </rPr>
      <t/>
    </r>
    <phoneticPr fontId="3" type="noConversion"/>
  </si>
  <si>
    <r>
      <rPr>
        <b/>
        <sz val="18"/>
        <rFont val="標楷體"/>
        <family val="4"/>
        <charset val="136"/>
      </rPr>
      <t>表</t>
    </r>
    <r>
      <rPr>
        <b/>
        <sz val="18"/>
        <rFont val="Times New Roman"/>
        <family val="1"/>
      </rPr>
      <t xml:space="preserve">2  </t>
    </r>
    <r>
      <rPr>
        <b/>
        <sz val="18"/>
        <rFont val="標楷體"/>
        <family val="4"/>
        <charset val="136"/>
      </rPr>
      <t>收益法調查估價表</t>
    </r>
    <phoneticPr fontId="3" type="noConversion"/>
  </si>
  <si>
    <t>表11-2   市價變動幅度計算表</t>
    <phoneticPr fontId="3" type="noConversion"/>
  </si>
  <si>
    <t>作業分區：</t>
    <phoneticPr fontId="3" type="noConversion"/>
  </si>
  <si>
    <t>0001</t>
    <phoneticPr fontId="3" type="noConversion"/>
  </si>
  <si>
    <t>0002</t>
    <phoneticPr fontId="3" type="noConversion"/>
  </si>
  <si>
    <t>0003</t>
    <phoneticPr fontId="3" type="noConversion"/>
  </si>
  <si>
    <t>0004</t>
    <phoneticPr fontId="3" type="noConversion"/>
  </si>
  <si>
    <t>0005</t>
    <phoneticPr fontId="3" type="noConversion"/>
  </si>
  <si>
    <t>0006</t>
    <phoneticPr fontId="3" type="noConversion"/>
  </si>
  <si>
    <r>
      <t>□尚未辦理</t>
    </r>
    <r>
      <rPr>
        <sz val="10"/>
        <rFont val="Times New Roman"/>
        <family val="1"/>
      </rPr>
      <t xml:space="preserve">                                                      </t>
    </r>
    <r>
      <rPr>
        <sz val="10"/>
        <rFont val="新細明體"/>
        <family val="1"/>
        <charset val="136"/>
      </rPr>
      <t>■</t>
    </r>
    <r>
      <rPr>
        <sz val="10"/>
        <rFont val="標楷體"/>
        <family val="4"/>
        <charset val="136"/>
      </rPr>
      <t>已辦理，未達成協議之金額</t>
    </r>
    <r>
      <rPr>
        <sz val="10"/>
        <rFont val="Times New Roman"/>
        <family val="1"/>
      </rPr>
      <t>(</t>
    </r>
    <r>
      <rPr>
        <sz val="10"/>
        <rFont val="標楷體"/>
        <family val="4"/>
        <charset val="136"/>
      </rPr>
      <t>元</t>
    </r>
    <r>
      <rPr>
        <sz val="10"/>
        <rFont val="Times New Roman"/>
        <family val="1"/>
      </rPr>
      <t>/M</t>
    </r>
    <r>
      <rPr>
        <vertAlign val="superscript"/>
        <sz val="10"/>
        <rFont val="Times New Roman"/>
        <family val="1"/>
      </rPr>
      <t>2</t>
    </r>
    <r>
      <rPr>
        <sz val="10"/>
        <rFont val="Times New Roman"/>
        <family val="1"/>
      </rPr>
      <t>)</t>
    </r>
    <r>
      <rPr>
        <sz val="10"/>
        <rFont val="標楷體"/>
        <family val="4"/>
        <charset val="136"/>
      </rPr>
      <t>如右</t>
    </r>
    <phoneticPr fontId="3" type="noConversion"/>
  </si>
  <si>
    <t>0006</t>
    <phoneticPr fontId="3" type="noConversion"/>
  </si>
  <si>
    <r>
      <t>興辦事業計畫名稱：</t>
    </r>
    <r>
      <rPr>
        <sz val="11"/>
        <rFont val="新細明體"/>
        <family val="1"/>
        <charset val="136"/>
      </rPr>
      <t>○○○○○○○○○○○○○○○○</t>
    </r>
    <phoneticPr fontId="3" type="noConversion"/>
  </si>
  <si>
    <t>0006</t>
    <phoneticPr fontId="3" type="noConversion"/>
  </si>
  <si>
    <t>○○○○○○○○○○○○○○○○○○○○○○○○○○○○○○○○○○○○○○○○○○○○○○○○○○○○○○○○○○○○○○○○○○○○○○○○○○○○○○○○○○○○○○○○○○○○○○○○○○○○○○○○○</t>
    <phoneticPr fontId="3" type="noConversion"/>
  </si>
  <si>
    <t>◇◇◇◇◇◇◇◇◇◇◇◇◇◇◇◇◇◇◇◇◇◇◇◇◇◇◇◇◇◇◇◇◇◇◇◇◇◇◇◇◇◇◇◇◇◇◇◇◇◇◇◇◇◇◇◇◇◇◇◇◇◇◇◇◇◇◇◇◇◇◇◇◇◇◇◇◇◇◇◇◇◇◇◇◇◇◇◇◇◇◇◇◇◇◇◇◇◇</t>
    <phoneticPr fontId="3" type="noConversion"/>
  </si>
  <si>
    <t>△△△△△△△△△△△△△△△△△△△△△△△△△△△△△△△△△△△△△△△△△△△△△△△△△△△△△△△△△△△△△△△△△△△△△△△△△△△△△△△△△△△△△△△△△△△△△△△△△△△△△△△△△△△△△△</t>
    <phoneticPr fontId="3" type="noConversion"/>
  </si>
  <si>
    <t>鄉鎮市區</t>
    <phoneticPr fontId="3" type="noConversion"/>
  </si>
  <si>
    <t>段小段名稱</t>
    <phoneticPr fontId="3" type="noConversion"/>
  </si>
  <si>
    <t>○○段○○小段</t>
    <phoneticPr fontId="3" type="noConversion"/>
  </si>
  <si>
    <t>○○鄉</t>
    <phoneticPr fontId="3" type="noConversion"/>
  </si>
  <si>
    <t>填寫日期：   年   月   日    承辦員：                 課（股）長：                  主任（局、處長）：</t>
    <phoneticPr fontId="3" type="noConversion"/>
  </si>
  <si>
    <t>1.由地價查估單位取得需用土地人提供之宗地個別因素清冊後，依「土地徵收補償市價查估辦法」第20條及「影響地價個別因素評價基準表」考慮個別因素調整項目中1~5修正細項。</t>
    <phoneticPr fontId="3" type="noConversion"/>
  </si>
  <si>
    <r>
      <t>2.</t>
    </r>
    <r>
      <rPr>
        <sz val="12"/>
        <rFont val="標楷體"/>
        <family val="4"/>
        <charset val="136"/>
      </rPr>
      <t>宗地市價尾數進位方式請地價單位自行依「土地徵收補償市價查估辦法」規定調整公式。</t>
    </r>
    <phoneticPr fontId="3" type="noConversion"/>
  </si>
  <si>
    <t>填寫說明：</t>
    <phoneticPr fontId="3" type="noConversion"/>
  </si>
  <si>
    <t>表11-2  市價變動幅度計算表</t>
    <phoneticPr fontId="3" type="noConversion"/>
  </si>
  <si>
    <r>
      <t>基期市價單價平均值BL</t>
    </r>
    <r>
      <rPr>
        <sz val="8"/>
        <rFont val="標楷體"/>
        <family val="4"/>
        <charset val="136"/>
      </rPr>
      <t>2</t>
    </r>
    <phoneticPr fontId="3" type="noConversion"/>
  </si>
  <si>
    <r>
      <t>現期市價單價平均值TL</t>
    </r>
    <r>
      <rPr>
        <sz val="8"/>
        <rFont val="標楷體"/>
        <family val="4"/>
        <charset val="136"/>
      </rPr>
      <t>2</t>
    </r>
    <phoneticPr fontId="3" type="noConversion"/>
  </si>
  <si>
    <r>
      <t>現期市價單價平均值TH</t>
    </r>
    <r>
      <rPr>
        <sz val="8"/>
        <rFont val="標楷體"/>
        <family val="4"/>
        <charset val="136"/>
      </rPr>
      <t>1</t>
    </r>
    <phoneticPr fontId="3" type="noConversion"/>
  </si>
  <si>
    <r>
      <t>基期市價單價平均值BH</t>
    </r>
    <r>
      <rPr>
        <sz val="8"/>
        <rFont val="標楷體"/>
        <family val="4"/>
        <charset val="136"/>
      </rPr>
      <t>1</t>
    </r>
    <phoneticPr fontId="3" type="noConversion"/>
  </si>
  <si>
    <r>
      <t>基期市價單價平均值BH</t>
    </r>
    <r>
      <rPr>
        <sz val="8"/>
        <rFont val="標楷體"/>
        <family val="4"/>
        <charset val="136"/>
      </rPr>
      <t>2</t>
    </r>
    <phoneticPr fontId="3" type="noConversion"/>
  </si>
  <si>
    <r>
      <t>現期市價單價平均值TH</t>
    </r>
    <r>
      <rPr>
        <sz val="8"/>
        <rFont val="標楷體"/>
        <family val="4"/>
        <charset val="136"/>
      </rPr>
      <t>2</t>
    </r>
    <phoneticPr fontId="3" type="noConversion"/>
  </si>
  <si>
    <t>○○鄉P002-01</t>
    <phoneticPr fontId="3" type="noConversion"/>
  </si>
  <si>
    <t>○○鄉P002-02</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</si>
</sst>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76" formatCode="0.0_ "/>
    <numFmt numFmtId="177" formatCode="0_ "/>
    <numFmt numFmtId="178" formatCode="0.0%"/>
    <numFmt numFmtId="179" formatCode="0.0"/>
    <numFmt numFmtId="180" formatCode="#,##0_);[Red]\(#,##0\)"/>
    <numFmt numFmtId="181" formatCode="#,##0_ "/>
    <numFmt numFmtId="182" formatCode="_-* #,##0_-;\-* #,##0_-;_-* &quot;-&quot;??_-;_-@_-"/>
    <numFmt numFmtId="183" formatCode="_-* #,##0.0_-;\-* #,##0.0_-;_-* &quot;-&quot;?_-;_-@_-"/>
    <numFmt numFmtId="184" formatCode="#,##0.0_);[Red]\(#,##0.0\)"/>
    <numFmt numFmtId="185" formatCode="0.00_ ;[Red]\-0.00\ "/>
    <numFmt numFmtId="186" formatCode="0_);[Red]\(0\)"/>
    <numFmt numFmtId="187" formatCode="#,##0.00_);[Red]\(#,##0.00\)"/>
    <numFmt numFmtId="188" formatCode="0.00_);[Red]\(0.00\)"/>
    <numFmt numFmtId="189" formatCode="0.00_ "/>
    <numFmt numFmtId="190" formatCode="#,##0_ ;[Red]\-#,##0\ "/>
  </numFmts>
  <fonts count="152">
    <font>
      <sz val="12"/>
      <name val="新細明體"/>
      <family val="1"/>
      <charset val="136"/>
    </font>
    <font>
      <sz val="12"/>
      <color indexed="8"/>
      <name val="新細明體"/>
      <family val="1"/>
      <charset val="136"/>
    </font>
    <font>
      <sz val="12"/>
      <name val="新細明體"/>
      <family val="1"/>
      <charset val="136"/>
    </font>
    <font>
      <sz val="9"/>
      <name val="新細明體"/>
      <family val="1"/>
      <charset val="136"/>
    </font>
    <font>
      <sz val="14"/>
      <name val="標楷體"/>
      <family val="4"/>
      <charset val="136"/>
    </font>
    <font>
      <sz val="12"/>
      <name val="Times New Roman"/>
      <family val="1"/>
    </font>
    <font>
      <sz val="10"/>
      <name val="標楷體"/>
      <family val="4"/>
      <charset val="136"/>
    </font>
    <font>
      <sz val="10"/>
      <name val="Times New Roman"/>
      <family val="1"/>
    </font>
    <font>
      <sz val="8"/>
      <name val="標楷體"/>
      <family val="4"/>
      <charset val="136"/>
    </font>
    <font>
      <sz val="10"/>
      <color indexed="10"/>
      <name val="Times New Roman"/>
      <family val="1"/>
    </font>
    <font>
      <sz val="10"/>
      <color indexed="12"/>
      <name val="標楷體"/>
      <family val="4"/>
      <charset val="136"/>
    </font>
    <font>
      <sz val="10"/>
      <color indexed="12"/>
      <name val="Times New Roman"/>
      <family val="1"/>
    </font>
    <font>
      <sz val="9"/>
      <name val="標楷體"/>
      <family val="4"/>
      <charset val="136"/>
    </font>
    <font>
      <sz val="9"/>
      <color indexed="12"/>
      <name val="標楷體"/>
      <family val="4"/>
      <charset val="136"/>
    </font>
    <font>
      <sz val="12"/>
      <name val="細明體"/>
      <family val="3"/>
      <charset val="136"/>
    </font>
    <font>
      <sz val="10"/>
      <color indexed="10"/>
      <name val="標楷體"/>
      <family val="4"/>
      <charset val="136"/>
    </font>
    <font>
      <sz val="6"/>
      <color indexed="12"/>
      <name val="標楷體"/>
      <family val="4"/>
      <charset val="136"/>
    </font>
    <font>
      <sz val="9"/>
      <name val="Times New Roman"/>
      <family val="1"/>
    </font>
    <font>
      <sz val="11"/>
      <color indexed="8"/>
      <name val="新細明體"/>
      <family val="1"/>
      <charset val="136"/>
    </font>
    <font>
      <sz val="11"/>
      <color indexed="42"/>
      <name val="新細明體"/>
      <family val="1"/>
      <charset val="136"/>
    </font>
    <font>
      <sz val="11"/>
      <color indexed="20"/>
      <name val="新細明體"/>
      <family val="1"/>
      <charset val="136"/>
    </font>
    <font>
      <b/>
      <sz val="11"/>
      <color indexed="52"/>
      <name val="新細明體"/>
      <family val="1"/>
      <charset val="136"/>
    </font>
    <font>
      <b/>
      <sz val="11"/>
      <color indexed="42"/>
      <name val="新細明體"/>
      <family val="1"/>
      <charset val="136"/>
    </font>
    <font>
      <i/>
      <sz val="11"/>
      <color indexed="23"/>
      <name val="新細明體"/>
      <family val="1"/>
      <charset val="136"/>
    </font>
    <font>
      <sz val="11"/>
      <color indexed="17"/>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sz val="12"/>
      <color indexed="8"/>
      <name val="新細明體"/>
      <family val="1"/>
      <charset val="136"/>
    </font>
    <font>
      <b/>
      <sz val="11"/>
      <color indexed="63"/>
      <name val="新細明體"/>
      <family val="1"/>
      <charset val="136"/>
    </font>
    <font>
      <b/>
      <sz val="18"/>
      <color indexed="62"/>
      <name val="新細明體"/>
      <family val="1"/>
      <charset val="136"/>
    </font>
    <font>
      <b/>
      <sz val="11"/>
      <color indexed="8"/>
      <name val="新細明體"/>
      <family val="1"/>
      <charset val="136"/>
    </font>
    <font>
      <sz val="11"/>
      <color indexed="10"/>
      <name val="新細明體"/>
      <family val="1"/>
      <charset val="136"/>
    </font>
    <font>
      <sz val="12"/>
      <color indexed="8"/>
      <name val="標楷體"/>
      <family val="4"/>
      <charset val="136"/>
    </font>
    <font>
      <sz val="12"/>
      <color indexed="8"/>
      <name val="Times New Roman"/>
      <family val="1"/>
    </font>
    <font>
      <sz val="11"/>
      <color indexed="12"/>
      <name val="標楷體"/>
      <family val="4"/>
      <charset val="136"/>
    </font>
    <font>
      <sz val="11"/>
      <color indexed="12"/>
      <name val="Times New Roman"/>
      <family val="1"/>
    </font>
    <font>
      <sz val="11"/>
      <name val="標楷體"/>
      <family val="4"/>
      <charset val="136"/>
    </font>
    <font>
      <sz val="11"/>
      <name val="Times New Roman"/>
      <family val="1"/>
    </font>
    <font>
      <sz val="12"/>
      <color indexed="12"/>
      <name val="標楷體"/>
      <family val="4"/>
      <charset val="136"/>
    </font>
    <font>
      <sz val="12"/>
      <name val="標楷體"/>
      <family val="4"/>
      <charset val="136"/>
    </font>
    <font>
      <sz val="12"/>
      <color indexed="10"/>
      <name val="新細明體"/>
      <family val="1"/>
      <charset val="136"/>
    </font>
    <font>
      <sz val="12"/>
      <color indexed="10"/>
      <name val="Times New Roman"/>
      <family val="1"/>
    </font>
    <font>
      <vertAlign val="superscript"/>
      <sz val="10"/>
      <name val="標楷體"/>
      <family val="4"/>
      <charset val="136"/>
    </font>
    <font>
      <vertAlign val="superscript"/>
      <sz val="12"/>
      <name val="Times New Roman"/>
      <family val="1"/>
    </font>
    <font>
      <b/>
      <sz val="16"/>
      <name val="標楷體"/>
      <family val="4"/>
      <charset val="136"/>
    </font>
    <font>
      <b/>
      <sz val="16"/>
      <name val="Times New Roman"/>
      <family val="1"/>
    </font>
    <font>
      <b/>
      <sz val="16"/>
      <name val="新細明體"/>
      <family val="1"/>
      <charset val="136"/>
    </font>
    <font>
      <vertAlign val="superscript"/>
      <sz val="10"/>
      <name val="Times New Roman"/>
      <family val="1"/>
    </font>
    <font>
      <vertAlign val="superscript"/>
      <sz val="9"/>
      <name val="Times New Roman"/>
      <family val="1"/>
    </font>
    <font>
      <sz val="10"/>
      <color indexed="12"/>
      <name val="細明體"/>
      <family val="3"/>
      <charset val="136"/>
    </font>
    <font>
      <sz val="12"/>
      <color indexed="9"/>
      <name val="新細明體"/>
      <family val="1"/>
      <charset val="136"/>
    </font>
    <font>
      <sz val="12"/>
      <color indexed="60"/>
      <name val="新細明體"/>
      <family val="1"/>
      <charset val="136"/>
    </font>
    <font>
      <b/>
      <sz val="12"/>
      <color indexed="8"/>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i/>
      <sz val="12"/>
      <color indexed="23"/>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sz val="16"/>
      <name val="Times New Roman"/>
      <family val="1"/>
    </font>
    <font>
      <sz val="16"/>
      <name val="標楷體"/>
      <family val="4"/>
      <charset val="136"/>
    </font>
    <font>
      <sz val="12"/>
      <color indexed="9"/>
      <name val="Times New Roman"/>
      <family val="1"/>
    </font>
    <font>
      <sz val="12"/>
      <color indexed="12"/>
      <name val="Times New Roman"/>
      <family val="1"/>
    </font>
    <font>
      <sz val="12"/>
      <color indexed="9"/>
      <name val="標楷體"/>
      <family val="4"/>
      <charset val="136"/>
    </font>
    <font>
      <sz val="12"/>
      <color indexed="12"/>
      <name val="細明體"/>
      <family val="3"/>
      <charset val="136"/>
    </font>
    <font>
      <sz val="10"/>
      <color indexed="9"/>
      <name val="Times New Roman"/>
      <family val="1"/>
    </font>
    <font>
      <sz val="10"/>
      <color indexed="9"/>
      <name val="細明體"/>
      <family val="3"/>
      <charset val="136"/>
    </font>
    <font>
      <sz val="14"/>
      <name val="新細明體"/>
      <family val="1"/>
      <charset val="136"/>
    </font>
    <font>
      <sz val="11"/>
      <color indexed="81"/>
      <name val="新細明體"/>
      <family val="1"/>
      <charset val="136"/>
    </font>
    <font>
      <sz val="12"/>
      <color indexed="81"/>
      <name val="新細明體"/>
      <family val="1"/>
      <charset val="136"/>
    </font>
    <font>
      <b/>
      <sz val="18"/>
      <color indexed="81"/>
      <name val="新細明體"/>
      <family val="1"/>
      <charset val="136"/>
    </font>
    <font>
      <b/>
      <sz val="12"/>
      <color indexed="81"/>
      <name val="新細明體"/>
      <family val="1"/>
      <charset val="136"/>
    </font>
    <font>
      <sz val="9"/>
      <color indexed="81"/>
      <name val="新細明體"/>
      <family val="1"/>
      <charset val="136"/>
    </font>
    <font>
      <vertAlign val="superscript"/>
      <sz val="16"/>
      <name val="標楷體"/>
      <family val="4"/>
      <charset val="136"/>
    </font>
    <font>
      <sz val="10"/>
      <name val="新細明體"/>
      <family val="1"/>
      <charset val="136"/>
    </font>
    <font>
      <sz val="18"/>
      <name val="標楷體"/>
      <family val="4"/>
      <charset val="136"/>
    </font>
    <font>
      <b/>
      <sz val="9"/>
      <color indexed="81"/>
      <name val="新細明體"/>
      <family val="1"/>
      <charset val="136"/>
    </font>
    <font>
      <sz val="8"/>
      <name val="Times New Roman"/>
      <family val="1"/>
    </font>
    <font>
      <sz val="12"/>
      <name val="新細明體"/>
      <family val="1"/>
      <charset val="136"/>
    </font>
    <font>
      <b/>
      <sz val="14"/>
      <color indexed="81"/>
      <name val="新細明體"/>
      <family val="1"/>
      <charset val="136"/>
    </font>
    <font>
      <sz val="14"/>
      <color indexed="81"/>
      <name val="新細明體"/>
      <family val="1"/>
      <charset val="136"/>
    </font>
    <font>
      <sz val="6"/>
      <name val="Times New Roman"/>
      <family val="1"/>
    </font>
    <font>
      <sz val="8"/>
      <color indexed="12"/>
      <name val="標楷體"/>
      <family val="4"/>
      <charset val="136"/>
    </font>
    <font>
      <sz val="8"/>
      <color indexed="12"/>
      <name val="Times New Roman"/>
      <family val="1"/>
    </font>
    <font>
      <vertAlign val="superscript"/>
      <sz val="11"/>
      <name val="標楷體"/>
      <family val="4"/>
      <charset val="136"/>
    </font>
    <font>
      <sz val="6"/>
      <color indexed="12"/>
      <name val="細明體"/>
      <family val="3"/>
      <charset val="136"/>
    </font>
    <font>
      <sz val="6"/>
      <color indexed="12"/>
      <name val="Times New Roman"/>
      <family val="1"/>
    </font>
    <font>
      <sz val="8"/>
      <name val="新細明體"/>
      <family val="1"/>
      <charset val="136"/>
    </font>
    <font>
      <b/>
      <sz val="18"/>
      <name val="標楷體"/>
      <family val="4"/>
      <charset val="136"/>
    </font>
    <font>
      <sz val="10"/>
      <color indexed="12"/>
      <name val="標楷體"/>
      <family val="4"/>
      <charset val="136"/>
    </font>
    <font>
      <sz val="10"/>
      <color indexed="12"/>
      <name val="Times New Roman"/>
      <family val="1"/>
    </font>
    <font>
      <sz val="9"/>
      <color indexed="12"/>
      <name val="標楷體"/>
      <family val="4"/>
      <charset val="136"/>
    </font>
    <font>
      <sz val="6"/>
      <color indexed="12"/>
      <name val="標楷體"/>
      <family val="4"/>
      <charset val="136"/>
    </font>
    <font>
      <sz val="10"/>
      <name val="Arial"/>
      <family val="2"/>
    </font>
    <font>
      <vertAlign val="subscript"/>
      <sz val="12"/>
      <name val="Times New Roman"/>
      <family val="1"/>
    </font>
    <font>
      <vertAlign val="subscript"/>
      <sz val="9"/>
      <name val="Times New Roman"/>
      <family val="1"/>
    </font>
    <font>
      <vertAlign val="subscript"/>
      <sz val="11"/>
      <name val="標楷體"/>
      <family val="4"/>
      <charset val="136"/>
    </font>
    <font>
      <sz val="9"/>
      <name val="Arial"/>
      <family val="2"/>
    </font>
    <font>
      <sz val="16"/>
      <name val="新細明體"/>
      <family val="1"/>
      <charset val="136"/>
    </font>
    <font>
      <sz val="12"/>
      <color indexed="81"/>
      <name val="標楷體"/>
      <family val="4"/>
      <charset val="136"/>
    </font>
    <font>
      <vertAlign val="superscript"/>
      <sz val="12"/>
      <name val="標楷體"/>
      <family val="4"/>
      <charset val="136"/>
    </font>
    <font>
      <sz val="14"/>
      <color indexed="12"/>
      <name val="標楷體"/>
      <family val="4"/>
      <charset val="136"/>
    </font>
    <font>
      <sz val="14"/>
      <color indexed="10"/>
      <name val="標楷體"/>
      <family val="4"/>
      <charset val="136"/>
    </font>
    <font>
      <b/>
      <sz val="9"/>
      <color indexed="12"/>
      <name val="新細明體"/>
      <family val="1"/>
      <charset val="136"/>
    </font>
    <font>
      <b/>
      <sz val="9"/>
      <color indexed="53"/>
      <name val="新細明體"/>
      <family val="1"/>
      <charset val="136"/>
    </font>
    <font>
      <b/>
      <sz val="12"/>
      <color indexed="12"/>
      <name val="新細明體"/>
      <family val="1"/>
      <charset val="136"/>
    </font>
    <font>
      <b/>
      <sz val="11"/>
      <color indexed="81"/>
      <name val="新細明體"/>
      <family val="1"/>
      <charset val="136"/>
    </font>
    <font>
      <b/>
      <sz val="10"/>
      <color indexed="81"/>
      <name val="新細明體"/>
      <family val="1"/>
      <charset val="136"/>
    </font>
    <font>
      <sz val="10"/>
      <color indexed="81"/>
      <name val="新細明體"/>
      <family val="1"/>
      <charset val="136"/>
    </font>
    <font>
      <sz val="14"/>
      <name val="Times New Roman"/>
      <family val="1"/>
    </font>
    <font>
      <sz val="14"/>
      <color indexed="12"/>
      <name val="Times New Roman"/>
      <family val="1"/>
    </font>
    <font>
      <b/>
      <sz val="18"/>
      <name val="Times New Roman"/>
      <family val="1"/>
    </font>
    <font>
      <sz val="14"/>
      <color indexed="21"/>
      <name val="標楷體"/>
      <family val="4"/>
      <charset val="136"/>
    </font>
    <font>
      <vertAlign val="superscript"/>
      <sz val="14"/>
      <name val="Times New Roman"/>
      <family val="1"/>
    </font>
    <font>
      <sz val="14"/>
      <color indexed="21"/>
      <name val="Times New Roman"/>
      <family val="1"/>
    </font>
    <font>
      <sz val="14"/>
      <color indexed="10"/>
      <name val="Times New Roman"/>
      <family val="1"/>
    </font>
    <font>
      <vertAlign val="superscript"/>
      <sz val="14"/>
      <color indexed="21"/>
      <name val="Times New Roman"/>
      <family val="1"/>
    </font>
    <font>
      <sz val="14"/>
      <color indexed="8"/>
      <name val="標楷體"/>
      <family val="4"/>
      <charset val="136"/>
    </font>
    <font>
      <sz val="14"/>
      <color indexed="8"/>
      <name val="Times New Roman"/>
      <family val="1"/>
    </font>
    <font>
      <sz val="14"/>
      <color indexed="9"/>
      <name val="新細明體"/>
      <family val="1"/>
      <charset val="136"/>
    </font>
    <font>
      <sz val="10"/>
      <color indexed="56"/>
      <name val="標楷體"/>
      <family val="4"/>
      <charset val="136"/>
    </font>
    <font>
      <vertAlign val="superscript"/>
      <sz val="10"/>
      <color indexed="56"/>
      <name val="標楷體"/>
      <family val="4"/>
      <charset val="136"/>
    </font>
    <font>
      <sz val="11"/>
      <name val="新細明體"/>
      <family val="1"/>
      <charset val="136"/>
    </font>
    <font>
      <sz val="9"/>
      <color indexed="81"/>
      <name val="Tahoma"/>
      <family val="2"/>
    </font>
    <font>
      <b/>
      <sz val="9"/>
      <color indexed="81"/>
      <name val="細明體"/>
      <family val="3"/>
      <charset val="136"/>
    </font>
    <font>
      <b/>
      <sz val="14"/>
      <name val="標楷體"/>
      <family val="4"/>
      <charset val="136"/>
    </font>
    <font>
      <sz val="11.5"/>
      <color indexed="48"/>
      <name val="新細明體"/>
      <family val="1"/>
      <charset val="136"/>
    </font>
    <font>
      <sz val="11"/>
      <color indexed="48"/>
      <name val="新細明體"/>
      <family val="1"/>
      <charset val="136"/>
    </font>
    <font>
      <sz val="12"/>
      <color indexed="48"/>
      <name val="新細明體"/>
      <family val="1"/>
      <charset val="136"/>
    </font>
    <font>
      <b/>
      <sz val="12"/>
      <name val="Times New Roman"/>
      <family val="1"/>
    </font>
    <font>
      <sz val="10"/>
      <color rgb="FF002060"/>
      <name val="標楷體"/>
      <family val="4"/>
      <charset val="136"/>
    </font>
    <font>
      <sz val="10"/>
      <color rgb="FF002060"/>
      <name val="Times New Roman"/>
      <family val="1"/>
    </font>
    <font>
      <sz val="8"/>
      <color indexed="12"/>
      <name val="新細明體"/>
      <family val="1"/>
      <charset val="136"/>
      <scheme val="minor"/>
    </font>
    <font>
      <sz val="12"/>
      <name val="新細明體"/>
      <family val="1"/>
      <charset val="136"/>
      <scheme val="minor"/>
    </font>
    <font>
      <sz val="10"/>
      <color rgb="FFFF0000"/>
      <name val="Times New Roman"/>
      <family val="1"/>
    </font>
    <font>
      <sz val="10"/>
      <color rgb="FFFF0000"/>
      <name val="細明體"/>
      <family val="3"/>
      <charset val="136"/>
    </font>
    <font>
      <sz val="12"/>
      <color rgb="FFFF0000"/>
      <name val="Times New Roman"/>
      <family val="1"/>
    </font>
    <font>
      <sz val="12"/>
      <color theme="1"/>
      <name val="Times New Roman"/>
      <family val="1"/>
    </font>
    <font>
      <sz val="10"/>
      <color theme="1"/>
      <name val="Times New Roman"/>
      <family val="1"/>
    </font>
    <font>
      <sz val="12"/>
      <color theme="1"/>
      <name val="標楷體"/>
      <family val="4"/>
      <charset val="136"/>
    </font>
    <font>
      <sz val="10"/>
      <color theme="1"/>
      <name val="細明體"/>
      <family val="3"/>
      <charset val="136"/>
    </font>
    <font>
      <sz val="12"/>
      <color theme="1"/>
      <name val="新細明體"/>
      <family val="1"/>
      <charset val="136"/>
    </font>
  </fonts>
  <fills count="32">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indexed="62"/>
      </patternFill>
    </fill>
    <fill>
      <patternFill patternType="solid">
        <fgColor indexed="26"/>
        <bgColor indexed="64"/>
      </patternFill>
    </fill>
    <fill>
      <patternFill patternType="solid">
        <fgColor indexed="9"/>
        <bgColor indexed="64"/>
      </patternFill>
    </fill>
    <fill>
      <patternFill patternType="solid">
        <fgColor indexed="27"/>
        <bgColor indexed="64"/>
      </patternFill>
    </fill>
    <fill>
      <patternFill patternType="solid">
        <fgColor indexed="43"/>
        <bgColor indexed="64"/>
      </patternFill>
    </fill>
    <fill>
      <patternFill patternType="solid">
        <fgColor indexed="22"/>
        <bgColor indexed="64"/>
      </patternFill>
    </fill>
    <fill>
      <patternFill patternType="solid">
        <fgColor rgb="FFFFFF99"/>
        <bgColor indexed="64"/>
      </patternFill>
    </fill>
  </fills>
  <borders count="9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style="thin">
        <color indexed="62"/>
      </top>
      <bottom style="double">
        <color indexed="62"/>
      </bottom>
      <diagonal/>
    </border>
    <border>
      <left/>
      <right/>
      <top/>
      <bottom style="thick">
        <color indexed="62"/>
      </bottom>
      <diagonal/>
    </border>
    <border>
      <left/>
      <right/>
      <top/>
      <bottom style="medium">
        <color indexed="3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hair">
        <color indexed="64"/>
      </left>
      <right style="thin">
        <color indexed="64"/>
      </right>
      <top style="thin">
        <color indexed="64"/>
      </top>
      <bottom style="hair">
        <color indexed="64"/>
      </bottom>
      <diagonal/>
    </border>
    <border>
      <left/>
      <right/>
      <top style="thin">
        <color indexed="64"/>
      </top>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style="thin">
        <color indexed="64"/>
      </left>
      <right style="hair">
        <color indexed="64"/>
      </right>
      <top style="thin">
        <color indexed="64"/>
      </top>
      <bottom style="hair">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hair">
        <color indexed="64"/>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style="hair">
        <color indexed="64"/>
      </right>
      <top style="thin">
        <color indexed="64"/>
      </top>
      <bottom/>
      <diagonal/>
    </border>
    <border>
      <left/>
      <right style="hair">
        <color indexed="64"/>
      </right>
      <top style="thin">
        <color indexed="64"/>
      </top>
      <bottom style="hair">
        <color indexed="64"/>
      </bottom>
      <diagonal/>
    </border>
    <border>
      <left style="hair">
        <color indexed="64"/>
      </left>
      <right style="thin">
        <color indexed="64"/>
      </right>
      <top/>
      <bottom style="hair">
        <color indexed="64"/>
      </bottom>
      <diagonal/>
    </border>
    <border>
      <left style="hair">
        <color indexed="64"/>
      </left>
      <right/>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style="thin">
        <color indexed="64"/>
      </bottom>
      <diagonal/>
    </border>
    <border>
      <left/>
      <right style="hair">
        <color indexed="64"/>
      </right>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style="thin">
        <color indexed="64"/>
      </left>
      <right/>
      <top style="hair">
        <color indexed="64"/>
      </top>
      <bottom/>
      <diagonal/>
    </border>
    <border>
      <left style="hair">
        <color indexed="64"/>
      </left>
      <right/>
      <top style="thin">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bottom/>
      <diagonal/>
    </border>
    <border>
      <left style="thin">
        <color indexed="64"/>
      </left>
      <right/>
      <top style="hair">
        <color indexed="64"/>
      </top>
      <bottom style="thin">
        <color indexed="64"/>
      </bottom>
      <diagonal/>
    </border>
    <border>
      <left style="hair">
        <color indexed="64"/>
      </left>
      <right style="hair">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style="hair">
        <color indexed="64"/>
      </right>
      <top style="hair">
        <color indexed="64"/>
      </top>
      <bottom/>
      <diagonal/>
    </border>
    <border>
      <left style="hair">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hair">
        <color indexed="64"/>
      </left>
      <right/>
      <top style="double">
        <color indexed="64"/>
      </top>
      <bottom style="hair">
        <color indexed="64"/>
      </bottom>
      <diagonal/>
    </border>
    <border>
      <left/>
      <right style="thin">
        <color indexed="64"/>
      </right>
      <top style="double">
        <color indexed="64"/>
      </top>
      <bottom style="hair">
        <color indexed="64"/>
      </bottom>
      <diagonal/>
    </border>
    <border>
      <left style="hair">
        <color indexed="64"/>
      </left>
      <right style="thin">
        <color indexed="64"/>
      </right>
      <top/>
      <bottom style="thin">
        <color indexed="64"/>
      </bottom>
      <diagonal/>
    </border>
    <border>
      <left style="thin">
        <color indexed="64"/>
      </left>
      <right style="hair">
        <color indexed="64"/>
      </right>
      <top style="double">
        <color indexed="64"/>
      </top>
      <bottom style="hair">
        <color indexed="64"/>
      </bottom>
      <diagonal/>
    </border>
    <border>
      <left style="thin">
        <color indexed="64"/>
      </left>
      <right/>
      <top/>
      <bottom style="double">
        <color indexed="64"/>
      </bottom>
      <diagonal/>
    </border>
    <border>
      <left/>
      <right style="hair">
        <color indexed="64"/>
      </right>
      <top/>
      <bottom style="double">
        <color indexed="64"/>
      </bottom>
      <diagonal/>
    </border>
    <border>
      <left/>
      <right style="hair">
        <color indexed="64"/>
      </right>
      <top style="thin">
        <color indexed="64"/>
      </top>
      <bottom style="thin">
        <color indexed="64"/>
      </bottom>
      <diagonal/>
    </border>
    <border>
      <left/>
      <right style="thin">
        <color indexed="64"/>
      </right>
      <top style="hair">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s>
  <cellStyleXfs count="95">
    <xf numFmtId="0" fontId="0" fillId="0" borderId="0">
      <alignment vertical="center"/>
    </xf>
    <xf numFmtId="0" fontId="18" fillId="2" borderId="0" applyNumberFormat="0" applyBorder="0" applyAlignment="0" applyProtection="0">
      <alignment vertical="center"/>
    </xf>
    <xf numFmtId="0" fontId="18" fillId="3" borderId="0" applyNumberFormat="0" applyBorder="0" applyAlignment="0" applyProtection="0">
      <alignment vertical="center"/>
    </xf>
    <xf numFmtId="0" fontId="18" fillId="4" borderId="0" applyNumberFormat="0" applyBorder="0" applyAlignment="0" applyProtection="0">
      <alignment vertical="center"/>
    </xf>
    <xf numFmtId="0" fontId="18" fillId="2" borderId="0" applyNumberFormat="0" applyBorder="0" applyAlignment="0" applyProtection="0">
      <alignment vertical="center"/>
    </xf>
    <xf numFmtId="0" fontId="18" fillId="5" borderId="0" applyNumberFormat="0" applyBorder="0" applyAlignment="0" applyProtection="0">
      <alignment vertical="center"/>
    </xf>
    <xf numFmtId="0" fontId="18" fillId="3" borderId="0" applyNumberFormat="0" applyBorder="0" applyAlignment="0" applyProtection="0">
      <alignment vertical="center"/>
    </xf>
    <xf numFmtId="0" fontId="31" fillId="6" borderId="0" applyNumberFormat="0" applyBorder="0" applyAlignment="0" applyProtection="0">
      <alignment vertical="center"/>
    </xf>
    <xf numFmtId="0" fontId="31" fillId="7" borderId="0" applyNumberFormat="0" applyBorder="0" applyAlignment="0" applyProtection="0">
      <alignment vertical="center"/>
    </xf>
    <xf numFmtId="0" fontId="31" fillId="8" borderId="0" applyNumberFormat="0" applyBorder="0" applyAlignment="0" applyProtection="0">
      <alignment vertical="center"/>
    </xf>
    <xf numFmtId="0" fontId="31" fillId="9" borderId="0" applyNumberFormat="0" applyBorder="0" applyAlignment="0" applyProtection="0">
      <alignment vertical="center"/>
    </xf>
    <xf numFmtId="0" fontId="31" fillId="5" borderId="0" applyNumberFormat="0" applyBorder="0" applyAlignment="0" applyProtection="0">
      <alignment vertical="center"/>
    </xf>
    <xf numFmtId="0" fontId="31" fillId="3"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3" borderId="0" applyNumberFormat="0" applyBorder="0" applyAlignment="0" applyProtection="0">
      <alignment vertical="center"/>
    </xf>
    <xf numFmtId="0" fontId="31" fillId="13"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9" borderId="0" applyNumberFormat="0" applyBorder="0" applyAlignment="0" applyProtection="0">
      <alignment vertical="center"/>
    </xf>
    <xf numFmtId="0" fontId="31" fillId="13" borderId="0" applyNumberFormat="0" applyBorder="0" applyAlignment="0" applyProtection="0">
      <alignment vertical="center"/>
    </xf>
    <xf numFmtId="0" fontId="31" fillId="15" borderId="0" applyNumberFormat="0" applyBorder="0" applyAlignment="0" applyProtection="0">
      <alignment vertical="center"/>
    </xf>
    <xf numFmtId="0" fontId="19" fillId="16"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0" borderId="0" applyNumberFormat="0" applyBorder="0" applyAlignment="0" applyProtection="0">
      <alignment vertical="center"/>
    </xf>
    <xf numFmtId="0" fontId="19" fillId="16" borderId="0" applyNumberFormat="0" applyBorder="0" applyAlignment="0" applyProtection="0">
      <alignment vertical="center"/>
    </xf>
    <xf numFmtId="0" fontId="19" fillId="3" borderId="0" applyNumberFormat="0" applyBorder="0" applyAlignment="0" applyProtection="0">
      <alignment vertical="center"/>
    </xf>
    <xf numFmtId="0" fontId="54" fillId="17" borderId="0" applyNumberFormat="0" applyBorder="0" applyAlignment="0" applyProtection="0">
      <alignment vertical="center"/>
    </xf>
    <xf numFmtId="0" fontId="54" fillId="11" borderId="0" applyNumberFormat="0" applyBorder="0" applyAlignment="0" applyProtection="0">
      <alignment vertical="center"/>
    </xf>
    <xf numFmtId="0" fontId="54" fillId="14" borderId="0" applyNumberFormat="0" applyBorder="0" applyAlignment="0" applyProtection="0">
      <alignment vertical="center"/>
    </xf>
    <xf numFmtId="0" fontId="54" fillId="18"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19" fillId="16"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20" fillId="7" borderId="0" applyNumberFormat="0" applyBorder="0" applyAlignment="0" applyProtection="0">
      <alignment vertical="center"/>
    </xf>
    <xf numFmtId="0" fontId="21" fillId="2" borderId="1" applyNumberFormat="0" applyAlignment="0" applyProtection="0">
      <alignment vertical="center"/>
    </xf>
    <xf numFmtId="0" fontId="22" fillId="24" borderId="2" applyNumberFormat="0" applyAlignment="0" applyProtection="0">
      <alignment vertical="center"/>
    </xf>
    <xf numFmtId="0" fontId="23" fillId="0" borderId="0" applyNumberFormat="0" applyFill="0" applyBorder="0" applyAlignment="0" applyProtection="0">
      <alignment vertical="center"/>
    </xf>
    <xf numFmtId="0" fontId="24" fillId="8" borderId="0" applyNumberFormat="0" applyBorder="0" applyAlignment="0" applyProtection="0">
      <alignment vertical="center"/>
    </xf>
    <xf numFmtId="0" fontId="25" fillId="0" borderId="3" applyNumberFormat="0" applyFill="0" applyAlignment="0" applyProtection="0">
      <alignment vertical="center"/>
    </xf>
    <xf numFmtId="0" fontId="26" fillId="0" borderId="4" applyNumberFormat="0" applyFill="0" applyAlignment="0" applyProtection="0">
      <alignment vertical="center"/>
    </xf>
    <xf numFmtId="0" fontId="27" fillId="0" borderId="5" applyNumberFormat="0" applyFill="0" applyAlignment="0" applyProtection="0">
      <alignment vertical="center"/>
    </xf>
    <xf numFmtId="0" fontId="27" fillId="0" borderId="0" applyNumberFormat="0" applyFill="0" applyBorder="0" applyAlignment="0" applyProtection="0">
      <alignment vertical="center"/>
    </xf>
    <xf numFmtId="0" fontId="28" fillId="3" borderId="1" applyNumberFormat="0" applyAlignment="0" applyProtection="0">
      <alignment vertical="center"/>
    </xf>
    <xf numFmtId="0" fontId="29" fillId="0" borderId="6" applyNumberFormat="0" applyFill="0" applyAlignment="0" applyProtection="0">
      <alignment vertical="center"/>
    </xf>
    <xf numFmtId="0" fontId="30" fillId="12" borderId="0" applyNumberFormat="0" applyBorder="0" applyAlignment="0" applyProtection="0">
      <alignment vertical="center"/>
    </xf>
    <xf numFmtId="0" fontId="31" fillId="4" borderId="7" applyNumberFormat="0" applyFont="0" applyAlignment="0" applyProtection="0">
      <alignment vertical="center"/>
    </xf>
    <xf numFmtId="0" fontId="32" fillId="2" borderId="8" applyNumberFormat="0" applyAlignment="0" applyProtection="0">
      <alignment vertical="center"/>
    </xf>
    <xf numFmtId="0" fontId="33" fillId="0" borderId="0" applyNumberFormat="0" applyFill="0" applyBorder="0" applyAlignment="0" applyProtection="0">
      <alignment vertical="center"/>
    </xf>
    <xf numFmtId="0" fontId="34" fillId="0" borderId="9" applyNumberFormat="0" applyFill="0" applyAlignment="0" applyProtection="0">
      <alignment vertical="center"/>
    </xf>
    <xf numFmtId="0" fontId="35" fillId="0" borderId="0" applyNumberFormat="0" applyFill="0" applyBorder="0" applyAlignment="0" applyProtection="0">
      <alignment vertical="center"/>
    </xf>
    <xf numFmtId="0" fontId="2" fillId="0" borderId="0" applyBorder="0"/>
    <xf numFmtId="0" fontId="31" fillId="0" borderId="0">
      <alignment vertical="center"/>
    </xf>
    <xf numFmtId="0" fontId="1" fillId="0" borderId="0">
      <alignment vertical="center"/>
    </xf>
    <xf numFmtId="0" fontId="2" fillId="0" borderId="0">
      <alignment vertical="center"/>
    </xf>
    <xf numFmtId="0" fontId="2" fillId="0" borderId="0">
      <alignment vertical="center"/>
    </xf>
    <xf numFmtId="0" fontId="103" fillId="0" borderId="0"/>
    <xf numFmtId="43" fontId="2" fillId="0" borderId="0" applyFont="0" applyFill="0" applyBorder="0" applyAlignment="0" applyProtection="0">
      <alignment vertical="center"/>
    </xf>
    <xf numFmtId="0" fontId="55" fillId="12" borderId="0" applyNumberFormat="0" applyBorder="0" applyAlignment="0" applyProtection="0">
      <alignment vertical="center"/>
    </xf>
    <xf numFmtId="0" fontId="56" fillId="0" borderId="10" applyNumberFormat="0" applyFill="0" applyAlignment="0" applyProtection="0">
      <alignment vertical="center"/>
    </xf>
    <xf numFmtId="0" fontId="57" fillId="8" borderId="0" applyNumberFormat="0" applyBorder="0" applyAlignment="0" applyProtection="0">
      <alignment vertical="center"/>
    </xf>
    <xf numFmtId="0" fontId="57" fillId="8" borderId="0" applyNumberFormat="0" applyBorder="0" applyAlignment="0" applyProtection="0">
      <alignment vertical="center"/>
    </xf>
    <xf numFmtId="0" fontId="57" fillId="8" borderId="0" applyNumberFormat="0" applyBorder="0" applyAlignment="0" applyProtection="0">
      <alignment vertical="center"/>
    </xf>
    <xf numFmtId="0" fontId="57" fillId="8" borderId="0" applyNumberFormat="0" applyBorder="0" applyAlignment="0" applyProtection="0">
      <alignment vertical="center"/>
    </xf>
    <xf numFmtId="0" fontId="57" fillId="8" borderId="0" applyNumberFormat="0" applyBorder="0" applyAlignment="0" applyProtection="0">
      <alignment vertical="center"/>
    </xf>
    <xf numFmtId="9" fontId="2" fillId="0" borderId="0" applyFont="0" applyFill="0" applyBorder="0" applyAlignment="0" applyProtection="0">
      <alignment vertical="center"/>
    </xf>
    <xf numFmtId="0" fontId="58" fillId="10" borderId="1" applyNumberFormat="0" applyAlignment="0" applyProtection="0">
      <alignment vertical="center"/>
    </xf>
    <xf numFmtId="0" fontId="59" fillId="0" borderId="6" applyNumberFormat="0" applyFill="0" applyAlignment="0" applyProtection="0">
      <alignment vertical="center"/>
    </xf>
    <xf numFmtId="0" fontId="2" fillId="4" borderId="7" applyNumberFormat="0" applyFont="0" applyAlignment="0" applyProtection="0">
      <alignment vertical="center"/>
    </xf>
    <xf numFmtId="0" fontId="60" fillId="0" borderId="0" applyNumberFormat="0" applyFill="0" applyBorder="0" applyAlignment="0" applyProtection="0">
      <alignment vertical="center"/>
    </xf>
    <xf numFmtId="0" fontId="54" fillId="25" borderId="0" applyNumberFormat="0" applyBorder="0" applyAlignment="0" applyProtection="0">
      <alignment vertical="center"/>
    </xf>
    <xf numFmtId="0" fontId="54" fillId="20" borderId="0" applyNumberFormat="0" applyBorder="0" applyAlignment="0" applyProtection="0">
      <alignment vertical="center"/>
    </xf>
    <xf numFmtId="0" fontId="54" fillId="21" borderId="0" applyNumberFormat="0" applyBorder="0" applyAlignment="0" applyProtection="0">
      <alignment vertical="center"/>
    </xf>
    <xf numFmtId="0" fontId="54" fillId="18" borderId="0" applyNumberFormat="0" applyBorder="0" applyAlignment="0" applyProtection="0">
      <alignment vertical="center"/>
    </xf>
    <xf numFmtId="0" fontId="54" fillId="16" borderId="0" applyNumberFormat="0" applyBorder="0" applyAlignment="0" applyProtection="0">
      <alignment vertical="center"/>
    </xf>
    <xf numFmtId="0" fontId="54" fillId="23" borderId="0" applyNumberFormat="0" applyBorder="0" applyAlignment="0" applyProtection="0">
      <alignment vertical="center"/>
    </xf>
    <xf numFmtId="0" fontId="61" fillId="0" borderId="0" applyNumberFormat="0" applyFill="0" applyBorder="0" applyAlignment="0" applyProtection="0">
      <alignment vertical="center"/>
    </xf>
    <xf numFmtId="0" fontId="62" fillId="0" borderId="11" applyNumberFormat="0" applyFill="0" applyAlignment="0" applyProtection="0">
      <alignment vertical="center"/>
    </xf>
    <xf numFmtId="0" fontId="63" fillId="0" borderId="4" applyNumberFormat="0" applyFill="0" applyAlignment="0" applyProtection="0">
      <alignment vertical="center"/>
    </xf>
    <xf numFmtId="0" fontId="64" fillId="0" borderId="12" applyNumberFormat="0" applyFill="0" applyAlignment="0" applyProtection="0">
      <alignment vertical="center"/>
    </xf>
    <xf numFmtId="0" fontId="64" fillId="0" borderId="0" applyNumberFormat="0" applyFill="0" applyBorder="0" applyAlignment="0" applyProtection="0">
      <alignment vertical="center"/>
    </xf>
    <xf numFmtId="0" fontId="65" fillId="3" borderId="1" applyNumberFormat="0" applyAlignment="0" applyProtection="0">
      <alignment vertical="center"/>
    </xf>
    <xf numFmtId="0" fontId="66" fillId="10" borderId="8" applyNumberFormat="0" applyAlignment="0" applyProtection="0">
      <alignment vertical="center"/>
    </xf>
    <xf numFmtId="0" fontId="67" fillId="24" borderId="2" applyNumberFormat="0" applyAlignment="0" applyProtection="0">
      <alignment vertical="center"/>
    </xf>
    <xf numFmtId="0" fontId="68" fillId="7" borderId="0" applyNumberFormat="0" applyBorder="0" applyAlignment="0" applyProtection="0">
      <alignment vertical="center"/>
    </xf>
    <xf numFmtId="0" fontId="44" fillId="0" borderId="0" applyNumberFormat="0" applyFill="0" applyBorder="0" applyAlignment="0" applyProtection="0">
      <alignment vertical="center"/>
    </xf>
  </cellStyleXfs>
  <cellXfs count="1226">
    <xf numFmtId="0" fontId="0" fillId="0" borderId="0" xfId="0">
      <alignment vertical="center"/>
    </xf>
    <xf numFmtId="0" fontId="5" fillId="0" borderId="0" xfId="63" applyFont="1">
      <alignment vertical="center"/>
    </xf>
    <xf numFmtId="0" fontId="5" fillId="0" borderId="0" xfId="63" applyFont="1" applyAlignment="1">
      <alignment horizontal="left" vertical="center"/>
    </xf>
    <xf numFmtId="0" fontId="5" fillId="0" borderId="0" xfId="63" applyFont="1" applyAlignment="1">
      <alignment horizontal="right" vertical="center"/>
    </xf>
    <xf numFmtId="0" fontId="43" fillId="0" borderId="13" xfId="0" applyFont="1" applyBorder="1" applyAlignment="1">
      <alignment horizontal="right" vertical="center"/>
    </xf>
    <xf numFmtId="0" fontId="5" fillId="0" borderId="13" xfId="0" applyFont="1" applyBorder="1" applyAlignment="1">
      <alignment vertical="center"/>
    </xf>
    <xf numFmtId="0" fontId="7" fillId="0" borderId="0" xfId="0" applyFont="1" applyAlignment="1">
      <alignment vertical="center" wrapText="1"/>
    </xf>
    <xf numFmtId="0" fontId="41" fillId="0" borderId="0" xfId="0" applyFont="1" applyAlignment="1">
      <alignment vertical="center" wrapText="1"/>
    </xf>
    <xf numFmtId="0" fontId="5" fillId="0" borderId="0" xfId="0" applyFont="1">
      <alignment vertical="center"/>
    </xf>
    <xf numFmtId="0" fontId="41" fillId="0" borderId="0" xfId="0" applyFont="1" applyFill="1" applyBorder="1" applyAlignment="1">
      <alignment horizontal="justify" vertical="center" wrapText="1"/>
    </xf>
    <xf numFmtId="0" fontId="5" fillId="0" borderId="0" xfId="0" applyFont="1" applyAlignment="1">
      <alignment horizontal="left" vertical="center"/>
    </xf>
    <xf numFmtId="49" fontId="5" fillId="0" borderId="14" xfId="0" applyNumberFormat="1" applyFont="1" applyFill="1" applyBorder="1">
      <alignment vertical="center"/>
    </xf>
    <xf numFmtId="49" fontId="5" fillId="0" borderId="14" xfId="0" applyNumberFormat="1" applyFont="1" applyBorder="1">
      <alignment vertical="center"/>
    </xf>
    <xf numFmtId="49" fontId="5" fillId="0" borderId="14" xfId="0" applyNumberFormat="1" applyFont="1" applyBorder="1" applyAlignment="1">
      <alignment horizontal="right" vertical="center"/>
    </xf>
    <xf numFmtId="49" fontId="5" fillId="0" borderId="14" xfId="0" applyNumberFormat="1" applyFont="1" applyBorder="1" applyAlignment="1">
      <alignment horizontal="left" vertical="center"/>
    </xf>
    <xf numFmtId="0" fontId="40" fillId="0" borderId="14" xfId="0" applyFont="1" applyFill="1" applyBorder="1" applyAlignment="1">
      <alignment horizontal="center" vertical="center"/>
    </xf>
    <xf numFmtId="0" fontId="41" fillId="0" borderId="0" xfId="0" applyFont="1">
      <alignment vertical="center"/>
    </xf>
    <xf numFmtId="0" fontId="41" fillId="0" borderId="0" xfId="0" applyFont="1" applyAlignment="1">
      <alignment vertical="center"/>
    </xf>
    <xf numFmtId="0" fontId="41" fillId="0" borderId="0" xfId="0" applyFont="1" applyAlignment="1">
      <alignment horizontal="left" vertical="center"/>
    </xf>
    <xf numFmtId="0" fontId="41" fillId="0" borderId="14" xfId="0" applyFont="1" applyFill="1" applyBorder="1">
      <alignment vertical="center"/>
    </xf>
    <xf numFmtId="0" fontId="41" fillId="0" borderId="14" xfId="0" applyFont="1" applyBorder="1">
      <alignment vertical="center"/>
    </xf>
    <xf numFmtId="0" fontId="41" fillId="0" borderId="14" xfId="0" applyFont="1" applyFill="1" applyBorder="1" applyAlignment="1">
      <alignment horizontal="center" vertical="center"/>
    </xf>
    <xf numFmtId="49" fontId="41" fillId="0" borderId="14" xfId="0" applyNumberFormat="1" applyFont="1" applyBorder="1" applyAlignment="1">
      <alignment horizontal="left" vertical="center"/>
    </xf>
    <xf numFmtId="181" fontId="5" fillId="0" borderId="14" xfId="0" applyNumberFormat="1" applyFont="1" applyFill="1" applyBorder="1">
      <alignment vertical="center"/>
    </xf>
    <xf numFmtId="181" fontId="5" fillId="0" borderId="14" xfId="0" applyNumberFormat="1" applyFont="1" applyBorder="1">
      <alignment vertical="center"/>
    </xf>
    <xf numFmtId="181" fontId="5" fillId="0" borderId="15" xfId="0" applyNumberFormat="1" applyFont="1" applyBorder="1" applyAlignment="1">
      <alignment vertical="center"/>
    </xf>
    <xf numFmtId="181" fontId="5" fillId="0" borderId="16" xfId="0" applyNumberFormat="1" applyFont="1" applyBorder="1" applyAlignment="1">
      <alignment vertical="center"/>
    </xf>
    <xf numFmtId="0" fontId="43" fillId="0" borderId="0" xfId="0" applyFont="1">
      <alignment vertical="center"/>
    </xf>
    <xf numFmtId="0" fontId="53" fillId="0" borderId="14" xfId="0" applyFont="1" applyBorder="1" applyAlignment="1" applyProtection="1">
      <alignment horizontal="center" vertical="center" wrapText="1"/>
      <protection locked="0"/>
    </xf>
    <xf numFmtId="0" fontId="40" fillId="0" borderId="17" xfId="0" applyFont="1" applyBorder="1" applyAlignment="1">
      <alignment horizontal="right" vertical="center"/>
    </xf>
    <xf numFmtId="0" fontId="40" fillId="0" borderId="0" xfId="60" applyFont="1" applyFill="1" applyBorder="1" applyAlignment="1">
      <alignment horizontal="left" vertical="center"/>
    </xf>
    <xf numFmtId="0" fontId="11" fillId="0" borderId="0" xfId="60" applyFont="1" applyFill="1" applyBorder="1" applyAlignment="1">
      <alignment horizontal="left" vertical="center"/>
    </xf>
    <xf numFmtId="0" fontId="5" fillId="0" borderId="0" xfId="60" applyFont="1"/>
    <xf numFmtId="0" fontId="72" fillId="0" borderId="18" xfId="60" applyFont="1" applyBorder="1" applyAlignment="1">
      <alignment horizontal="center" vertical="center"/>
    </xf>
    <xf numFmtId="0" fontId="8" fillId="0" borderId="18" xfId="60" applyFont="1" applyBorder="1" applyAlignment="1">
      <alignment vertical="center"/>
    </xf>
    <xf numFmtId="0" fontId="5" fillId="0" borderId="19" xfId="60" applyFont="1" applyFill="1" applyBorder="1" applyAlignment="1">
      <alignment horizontal="left" vertical="top" wrapText="1"/>
    </xf>
    <xf numFmtId="10" fontId="72" fillId="0" borderId="18" xfId="60" applyNumberFormat="1" applyFont="1" applyFill="1" applyBorder="1" applyAlignment="1">
      <alignment horizontal="right" vertical="top" wrapText="1"/>
    </xf>
    <xf numFmtId="9" fontId="72" fillId="0" borderId="18" xfId="60" applyNumberFormat="1" applyFont="1" applyFill="1" applyBorder="1" applyAlignment="1">
      <alignment horizontal="right" vertical="top" wrapText="1"/>
    </xf>
    <xf numFmtId="0" fontId="5" fillId="0" borderId="18" xfId="60" applyFont="1" applyFill="1" applyBorder="1" applyAlignment="1">
      <alignment horizontal="center" vertical="center"/>
    </xf>
    <xf numFmtId="0" fontId="72" fillId="0" borderId="20" xfId="60" applyFont="1" applyBorder="1" applyAlignment="1">
      <alignment horizontal="center" vertical="center"/>
    </xf>
    <xf numFmtId="179" fontId="72" fillId="0" borderId="18" xfId="60" applyNumberFormat="1" applyFont="1" applyBorder="1" applyAlignment="1">
      <alignment vertical="center"/>
    </xf>
    <xf numFmtId="178" fontId="72" fillId="0" borderId="18" xfId="60" applyNumberFormat="1" applyFont="1" applyFill="1" applyBorder="1" applyAlignment="1">
      <alignment horizontal="center" vertical="top" wrapText="1"/>
    </xf>
    <xf numFmtId="0" fontId="42" fillId="0" borderId="21" xfId="60" applyFont="1" applyBorder="1" applyAlignment="1">
      <alignment horizontal="center" vertical="center"/>
    </xf>
    <xf numFmtId="10" fontId="72" fillId="0" borderId="18" xfId="60" applyNumberFormat="1" applyFont="1" applyFill="1" applyBorder="1" applyAlignment="1">
      <alignment horizontal="center" vertical="top" wrapText="1"/>
    </xf>
    <xf numFmtId="9" fontId="72" fillId="0" borderId="18" xfId="60" applyNumberFormat="1" applyFont="1" applyFill="1" applyBorder="1" applyAlignment="1">
      <alignment horizontal="center" vertical="top" wrapText="1"/>
    </xf>
    <xf numFmtId="0" fontId="72" fillId="0" borderId="19" xfId="60" applyFont="1" applyFill="1" applyBorder="1" applyAlignment="1">
      <alignment horizontal="right" vertical="center"/>
    </xf>
    <xf numFmtId="0" fontId="72" fillId="0" borderId="18" xfId="60" applyFont="1" applyFill="1" applyBorder="1" applyAlignment="1">
      <alignment horizontal="left" vertical="center"/>
    </xf>
    <xf numFmtId="0" fontId="5" fillId="0" borderId="0" xfId="60" applyFont="1" applyAlignment="1">
      <alignment horizontal="center"/>
    </xf>
    <xf numFmtId="0" fontId="17" fillId="0" borderId="0" xfId="60" applyFont="1"/>
    <xf numFmtId="0" fontId="17" fillId="0" borderId="0" xfId="60" applyFont="1" applyAlignment="1"/>
    <xf numFmtId="10" fontId="75" fillId="0" borderId="0" xfId="74" applyNumberFormat="1" applyFont="1" applyFill="1" applyBorder="1" applyAlignment="1">
      <alignment vertical="center"/>
    </xf>
    <xf numFmtId="0" fontId="75" fillId="0" borderId="0" xfId="60" applyFont="1" applyBorder="1"/>
    <xf numFmtId="9" fontId="71" fillId="0" borderId="0" xfId="60" applyNumberFormat="1" applyFont="1" applyAlignment="1">
      <alignment vertical="center"/>
    </xf>
    <xf numFmtId="9" fontId="5" fillId="0" borderId="0" xfId="60" applyNumberFormat="1" applyFont="1" applyAlignment="1">
      <alignment vertical="center"/>
    </xf>
    <xf numFmtId="0" fontId="5" fillId="0" borderId="14" xfId="0" applyFont="1" applyBorder="1">
      <alignment vertical="center"/>
    </xf>
    <xf numFmtId="181" fontId="5" fillId="0" borderId="14" xfId="0" applyNumberFormat="1" applyFont="1" applyBorder="1" applyAlignment="1" applyProtection="1">
      <alignment horizontal="right" vertical="center"/>
      <protection locked="0"/>
    </xf>
    <xf numFmtId="0" fontId="5" fillId="0" borderId="0" xfId="0" applyFont="1" applyAlignment="1">
      <alignment vertical="center"/>
    </xf>
    <xf numFmtId="177" fontId="36" fillId="0" borderId="18" xfId="60" applyNumberFormat="1" applyFont="1" applyFill="1" applyBorder="1" applyAlignment="1">
      <alignment horizontal="center" vertical="center"/>
    </xf>
    <xf numFmtId="181" fontId="5" fillId="0" borderId="22" xfId="0" applyNumberFormat="1" applyFont="1" applyFill="1" applyBorder="1">
      <alignment vertical="center"/>
    </xf>
    <xf numFmtId="181" fontId="5" fillId="0" borderId="23" xfId="0" applyNumberFormat="1" applyFont="1" applyBorder="1" applyAlignment="1">
      <alignment vertical="center"/>
    </xf>
    <xf numFmtId="181" fontId="5" fillId="0" borderId="24" xfId="0" applyNumberFormat="1" applyFont="1" applyBorder="1" applyAlignment="1">
      <alignment vertical="center"/>
    </xf>
    <xf numFmtId="181" fontId="5" fillId="0" borderId="25" xfId="0" applyNumberFormat="1" applyFont="1" applyBorder="1" applyAlignment="1">
      <alignment vertical="center"/>
    </xf>
    <xf numFmtId="181" fontId="5" fillId="0" borderId="22" xfId="0" applyNumberFormat="1" applyFont="1" applyBorder="1">
      <alignment vertical="center"/>
    </xf>
    <xf numFmtId="0" fontId="43" fillId="0" borderId="26" xfId="0" applyFont="1" applyBorder="1">
      <alignment vertical="center"/>
    </xf>
    <xf numFmtId="0" fontId="43" fillId="0" borderId="27" xfId="0" applyFont="1" applyBorder="1">
      <alignment vertical="center"/>
    </xf>
    <xf numFmtId="0" fontId="43" fillId="0" borderId="28" xfId="0" applyFont="1" applyBorder="1">
      <alignment vertical="center"/>
    </xf>
    <xf numFmtId="0" fontId="43" fillId="0" borderId="29" xfId="0" applyFont="1" applyBorder="1">
      <alignment vertical="center"/>
    </xf>
    <xf numFmtId="181" fontId="5" fillId="0" borderId="16" xfId="0" applyNumberFormat="1" applyFont="1" applyBorder="1">
      <alignment vertical="center"/>
    </xf>
    <xf numFmtId="0" fontId="40" fillId="0" borderId="14" xfId="0" applyFont="1" applyFill="1" applyBorder="1" applyAlignment="1">
      <alignment horizontal="left" vertical="center" wrapText="1"/>
    </xf>
    <xf numFmtId="0" fontId="43" fillId="0" borderId="18" xfId="60" applyFont="1" applyFill="1" applyBorder="1" applyAlignment="1">
      <alignment horizontal="left" vertical="top" wrapText="1"/>
    </xf>
    <xf numFmtId="0" fontId="5" fillId="0" borderId="18" xfId="60" applyFont="1" applyFill="1" applyBorder="1" applyAlignment="1">
      <alignment horizontal="left" vertical="top" wrapText="1"/>
    </xf>
    <xf numFmtId="9" fontId="5" fillId="0" borderId="18" xfId="60" applyNumberFormat="1" applyFont="1" applyFill="1" applyBorder="1" applyAlignment="1">
      <alignment horizontal="left" vertical="top" wrapText="1"/>
    </xf>
    <xf numFmtId="181" fontId="72" fillId="0" borderId="30" xfId="60" applyNumberFormat="1" applyFont="1" applyBorder="1"/>
    <xf numFmtId="0" fontId="76" fillId="0" borderId="0" xfId="60" applyFont="1" applyFill="1" applyBorder="1" applyAlignment="1">
      <alignment vertical="center"/>
    </xf>
    <xf numFmtId="0" fontId="17" fillId="0" borderId="0" xfId="60" applyFont="1" applyAlignment="1">
      <alignment vertical="center"/>
    </xf>
    <xf numFmtId="0" fontId="41" fillId="0" borderId="0" xfId="60" applyFont="1" applyFill="1" applyBorder="1" applyAlignment="1">
      <alignment horizontal="left" vertical="center"/>
    </xf>
    <xf numFmtId="0" fontId="37" fillId="0" borderId="31" xfId="61" applyFont="1" applyBorder="1" applyAlignment="1">
      <alignment horizontal="left" vertical="center"/>
    </xf>
    <xf numFmtId="0" fontId="91" fillId="0" borderId="0" xfId="60" applyFont="1" applyAlignment="1">
      <alignment horizontal="justify"/>
    </xf>
    <xf numFmtId="0" fontId="91" fillId="0" borderId="0" xfId="60" applyFont="1"/>
    <xf numFmtId="10" fontId="40" fillId="0" borderId="14" xfId="0" applyNumberFormat="1" applyFont="1" applyBorder="1" applyAlignment="1">
      <alignment horizontal="center" vertical="center"/>
    </xf>
    <xf numFmtId="0" fontId="40" fillId="0" borderId="0" xfId="0" applyFont="1" applyFill="1" applyBorder="1" applyAlignment="1">
      <alignment horizontal="right" vertical="center" wrapText="1"/>
    </xf>
    <xf numFmtId="0" fontId="41" fillId="0" borderId="0" xfId="0" applyFont="1" applyFill="1" applyBorder="1" applyAlignment="1">
      <alignment horizontal="left" vertical="center" wrapText="1"/>
    </xf>
    <xf numFmtId="0" fontId="40" fillId="0" borderId="0" xfId="0" applyFont="1" applyAlignment="1">
      <alignment horizontal="right" vertical="center"/>
    </xf>
    <xf numFmtId="0" fontId="53" fillId="0" borderId="14" xfId="0" applyFont="1" applyBorder="1" applyAlignment="1" applyProtection="1">
      <alignment horizontal="center" vertical="center"/>
      <protection locked="0"/>
    </xf>
    <xf numFmtId="0" fontId="95" fillId="0" borderId="14" xfId="0" applyFont="1" applyBorder="1" applyAlignment="1" applyProtection="1">
      <alignment horizontal="center" vertical="center" wrapText="1"/>
      <protection locked="0"/>
    </xf>
    <xf numFmtId="0" fontId="72" fillId="0" borderId="18" xfId="60" applyFont="1" applyBorder="1" applyAlignment="1">
      <alignment vertical="center"/>
    </xf>
    <xf numFmtId="0" fontId="72" fillId="0" borderId="21" xfId="60" applyFont="1" applyFill="1" applyBorder="1" applyAlignment="1">
      <alignment horizontal="center" vertical="center"/>
    </xf>
    <xf numFmtId="9" fontId="72" fillId="0" borderId="18" xfId="60" applyNumberFormat="1" applyFont="1" applyFill="1" applyBorder="1" applyAlignment="1">
      <alignment horizontal="center"/>
    </xf>
    <xf numFmtId="49" fontId="72" fillId="0" borderId="32" xfId="60" applyNumberFormat="1" applyFont="1" applyFill="1" applyBorder="1" applyAlignment="1">
      <alignment horizontal="center" vertical="center"/>
    </xf>
    <xf numFmtId="0" fontId="72" fillId="0" borderId="18" xfId="60" applyFont="1" applyFill="1" applyBorder="1" applyAlignment="1">
      <alignment horizontal="left" vertical="top" wrapText="1"/>
    </xf>
    <xf numFmtId="0" fontId="41" fillId="0" borderId="19" xfId="60" applyFont="1" applyFill="1" applyBorder="1" applyAlignment="1">
      <alignment horizontal="left" vertical="top" wrapText="1"/>
    </xf>
    <xf numFmtId="9" fontId="72" fillId="0" borderId="18" xfId="60" applyNumberFormat="1" applyFont="1" applyFill="1" applyBorder="1" applyAlignment="1">
      <alignment horizontal="left" vertical="top" wrapText="1"/>
    </xf>
    <xf numFmtId="0" fontId="72" fillId="0" borderId="21" xfId="60" applyFont="1" applyBorder="1" applyAlignment="1">
      <alignment horizontal="center" vertical="center"/>
    </xf>
    <xf numFmtId="181" fontId="72" fillId="0" borderId="32" xfId="60" applyNumberFormat="1" applyFont="1" applyBorder="1"/>
    <xf numFmtId="181" fontId="72" fillId="0" borderId="33" xfId="60" applyNumberFormat="1" applyFont="1" applyBorder="1"/>
    <xf numFmtId="0" fontId="71" fillId="0" borderId="18" xfId="60" applyFont="1" applyBorder="1" applyAlignment="1">
      <alignment horizontal="center" vertical="center"/>
    </xf>
    <xf numFmtId="179" fontId="71" fillId="0" borderId="18" xfId="60" applyNumberFormat="1" applyFont="1" applyBorder="1" applyAlignment="1">
      <alignment vertical="center"/>
    </xf>
    <xf numFmtId="10" fontId="71" fillId="0" borderId="18" xfId="60" applyNumberFormat="1" applyFont="1" applyFill="1" applyBorder="1" applyAlignment="1">
      <alignment horizontal="right" vertical="top" wrapText="1"/>
    </xf>
    <xf numFmtId="9" fontId="71" fillId="0" borderId="18" xfId="60" applyNumberFormat="1" applyFont="1" applyFill="1" applyBorder="1" applyAlignment="1">
      <alignment horizontal="right" vertical="top" wrapText="1"/>
    </xf>
    <xf numFmtId="9" fontId="71" fillId="0" borderId="18" xfId="60" applyNumberFormat="1" applyFont="1" applyFill="1" applyBorder="1" applyAlignment="1">
      <alignment horizontal="center"/>
    </xf>
    <xf numFmtId="0" fontId="71" fillId="0" borderId="18" xfId="60" applyFont="1" applyFill="1" applyBorder="1" applyAlignment="1">
      <alignment horizontal="left" vertical="top" wrapText="1"/>
    </xf>
    <xf numFmtId="178" fontId="71" fillId="0" borderId="18" xfId="60" applyNumberFormat="1" applyFont="1" applyFill="1" applyBorder="1" applyAlignment="1">
      <alignment horizontal="center" vertical="top" wrapText="1"/>
    </xf>
    <xf numFmtId="0" fontId="73" fillId="0" borderId="18" xfId="60" applyFont="1" applyFill="1" applyBorder="1" applyAlignment="1">
      <alignment horizontal="left" vertical="top" wrapText="1"/>
    </xf>
    <xf numFmtId="10" fontId="71" fillId="0" borderId="18" xfId="60" applyNumberFormat="1" applyFont="1" applyFill="1" applyBorder="1" applyAlignment="1">
      <alignment horizontal="center" vertical="top" wrapText="1"/>
    </xf>
    <xf numFmtId="9" fontId="71" fillId="0" borderId="18" xfId="60" applyNumberFormat="1" applyFont="1" applyFill="1" applyBorder="1" applyAlignment="1">
      <alignment horizontal="left" vertical="top" wrapText="1"/>
    </xf>
    <xf numFmtId="9" fontId="71" fillId="0" borderId="18" xfId="60" applyNumberFormat="1" applyFont="1" applyFill="1" applyBorder="1" applyAlignment="1">
      <alignment horizontal="center" vertical="top" wrapText="1"/>
    </xf>
    <xf numFmtId="0" fontId="71" fillId="0" borderId="19" xfId="60" applyFont="1" applyFill="1" applyBorder="1" applyAlignment="1">
      <alignment horizontal="right" vertical="center"/>
    </xf>
    <xf numFmtId="0" fontId="71" fillId="0" borderId="18" xfId="60" applyFont="1" applyFill="1" applyBorder="1" applyAlignment="1">
      <alignment horizontal="left" vertical="center"/>
    </xf>
    <xf numFmtId="9" fontId="45" fillId="0" borderId="19" xfId="60" applyNumberFormat="1" applyFont="1" applyFill="1" applyBorder="1" applyAlignment="1">
      <alignment horizontal="right"/>
    </xf>
    <xf numFmtId="183" fontId="17" fillId="0" borderId="0" xfId="60" applyNumberFormat="1" applyFont="1" applyAlignment="1"/>
    <xf numFmtId="10" fontId="75" fillId="0" borderId="0" xfId="74" applyNumberFormat="1" applyFont="1" applyBorder="1" applyAlignment="1">
      <alignment vertical="center"/>
    </xf>
    <xf numFmtId="0" fontId="75" fillId="0" borderId="0" xfId="60" applyFont="1" applyBorder="1" applyAlignment="1">
      <alignment vertical="center"/>
    </xf>
    <xf numFmtId="0" fontId="71" fillId="0" borderId="21" xfId="60" applyFont="1" applyBorder="1" applyAlignment="1">
      <alignment horizontal="center" vertical="center"/>
    </xf>
    <xf numFmtId="177" fontId="37" fillId="0" borderId="18" xfId="60" applyNumberFormat="1" applyFont="1" applyFill="1" applyBorder="1" applyAlignment="1">
      <alignment horizontal="center" vertical="center"/>
    </xf>
    <xf numFmtId="0" fontId="11" fillId="0" borderId="14" xfId="0" applyFont="1" applyBorder="1" applyAlignment="1">
      <alignment horizontal="center" vertical="center"/>
    </xf>
    <xf numFmtId="49" fontId="11" fillId="0" borderId="14" xfId="0" applyNumberFormat="1" applyFont="1" applyBorder="1" applyAlignment="1">
      <alignment horizontal="center" vertical="center"/>
    </xf>
    <xf numFmtId="0" fontId="11" fillId="0" borderId="14" xfId="0" applyFont="1" applyBorder="1" applyAlignment="1" applyProtection="1">
      <alignment horizontal="center" vertical="center"/>
      <protection locked="0"/>
    </xf>
    <xf numFmtId="181" fontId="11" fillId="0" borderId="14" xfId="0" applyNumberFormat="1" applyFont="1" applyBorder="1" applyAlignment="1" applyProtection="1">
      <alignment horizontal="center" vertical="center"/>
      <protection locked="0"/>
    </xf>
    <xf numFmtId="0" fontId="96" fillId="0" borderId="14" xfId="0" applyFont="1" applyBorder="1" applyAlignment="1">
      <alignment horizontal="center" vertical="center"/>
    </xf>
    <xf numFmtId="3" fontId="11" fillId="0" borderId="14" xfId="0" applyNumberFormat="1" applyFont="1" applyBorder="1" applyAlignment="1">
      <alignment horizontal="center" vertical="center"/>
    </xf>
    <xf numFmtId="0" fontId="5" fillId="0" borderId="0" xfId="0" applyFont="1" applyAlignment="1">
      <alignment horizontal="center" vertical="center"/>
    </xf>
    <xf numFmtId="0" fontId="6" fillId="0" borderId="27" xfId="0" applyFont="1" applyBorder="1">
      <alignment vertical="center"/>
    </xf>
    <xf numFmtId="0" fontId="6" fillId="0" borderId="28" xfId="0" applyFont="1" applyBorder="1">
      <alignment vertical="center"/>
    </xf>
    <xf numFmtId="0" fontId="6" fillId="0" borderId="29" xfId="0" applyFont="1" applyBorder="1">
      <alignment vertical="center"/>
    </xf>
    <xf numFmtId="0" fontId="6" fillId="0" borderId="26" xfId="0" applyFont="1" applyBorder="1">
      <alignment vertical="center"/>
    </xf>
    <xf numFmtId="185" fontId="48" fillId="0" borderId="0" xfId="0" applyNumberFormat="1" applyFont="1" applyAlignment="1">
      <alignment horizontal="left" vertical="center"/>
    </xf>
    <xf numFmtId="185" fontId="69" fillId="0" borderId="0" xfId="0" applyNumberFormat="1" applyFont="1">
      <alignment vertical="center"/>
    </xf>
    <xf numFmtId="185" fontId="5" fillId="0" borderId="0" xfId="0" applyNumberFormat="1" applyFont="1">
      <alignment vertical="center"/>
    </xf>
    <xf numFmtId="185" fontId="5" fillId="0" borderId="0" xfId="0" applyNumberFormat="1" applyFont="1" applyAlignment="1">
      <alignment horizontal="center" vertical="center"/>
    </xf>
    <xf numFmtId="185" fontId="7" fillId="0" borderId="14" xfId="0" applyNumberFormat="1" applyFont="1" applyBorder="1" applyAlignment="1">
      <alignment horizontal="center" vertical="center" wrapText="1"/>
    </xf>
    <xf numFmtId="185" fontId="7" fillId="0" borderId="14" xfId="0" applyNumberFormat="1" applyFont="1" applyBorder="1" applyAlignment="1">
      <alignment vertical="center" wrapText="1"/>
    </xf>
    <xf numFmtId="181" fontId="5" fillId="0" borderId="34" xfId="0" applyNumberFormat="1" applyFont="1" applyFill="1" applyBorder="1">
      <alignment vertical="center"/>
    </xf>
    <xf numFmtId="0" fontId="6" fillId="0" borderId="35" xfId="0" applyFont="1" applyBorder="1" applyAlignment="1">
      <alignment horizontal="center" vertical="center" wrapText="1"/>
    </xf>
    <xf numFmtId="3" fontId="6" fillId="0" borderId="36" xfId="0" applyNumberFormat="1" applyFont="1" applyBorder="1" applyAlignment="1">
      <alignment horizontal="center" vertical="center" wrapText="1"/>
    </xf>
    <xf numFmtId="0" fontId="6" fillId="0" borderId="36" xfId="0" applyFont="1" applyBorder="1" applyAlignment="1">
      <alignment horizontal="center" vertical="center" wrapText="1"/>
    </xf>
    <xf numFmtId="0" fontId="6" fillId="0" borderId="37" xfId="0" applyFont="1" applyBorder="1" applyAlignment="1">
      <alignment horizontal="center" vertical="center" wrapText="1"/>
    </xf>
    <xf numFmtId="49" fontId="5" fillId="0" borderId="0" xfId="0" applyNumberFormat="1" applyFont="1" applyAlignment="1">
      <alignment horizontal="center" vertical="center"/>
    </xf>
    <xf numFmtId="0" fontId="0" fillId="0" borderId="0" xfId="0" applyBorder="1" applyAlignment="1">
      <alignment vertical="center"/>
    </xf>
    <xf numFmtId="0" fontId="53" fillId="0" borderId="14" xfId="0" applyFont="1" applyFill="1" applyBorder="1" applyAlignment="1" applyProtection="1">
      <alignment horizontal="center" vertical="center" wrapText="1"/>
      <protection locked="0"/>
    </xf>
    <xf numFmtId="0" fontId="42" fillId="0" borderId="0" xfId="0" applyFont="1" applyAlignment="1">
      <alignment horizontal="left" vertical="center"/>
    </xf>
    <xf numFmtId="0" fontId="72" fillId="0" borderId="0" xfId="0" applyFont="1" applyAlignment="1">
      <alignment vertical="center"/>
    </xf>
    <xf numFmtId="49" fontId="72" fillId="0" borderId="0" xfId="0" applyNumberFormat="1" applyFont="1" applyAlignment="1">
      <alignment vertical="center"/>
    </xf>
    <xf numFmtId="0" fontId="72" fillId="0" borderId="0" xfId="0" applyFont="1">
      <alignment vertical="center"/>
    </xf>
    <xf numFmtId="0" fontId="43" fillId="0" borderId="13" xfId="0" applyFont="1" applyBorder="1" applyAlignment="1">
      <alignment vertical="center"/>
    </xf>
    <xf numFmtId="0" fontId="97" fillId="0" borderId="13" xfId="0" applyFont="1" applyBorder="1" applyAlignment="1">
      <alignment horizontal="right" vertical="center"/>
    </xf>
    <xf numFmtId="0" fontId="97" fillId="0" borderId="13" xfId="0" applyFont="1" applyBorder="1" applyAlignment="1">
      <alignment vertical="center"/>
    </xf>
    <xf numFmtId="0" fontId="97" fillId="0" borderId="13" xfId="0" applyFont="1" applyBorder="1" applyAlignment="1">
      <alignment horizontal="left" vertical="center"/>
    </xf>
    <xf numFmtId="0" fontId="5" fillId="0" borderId="14" xfId="0" applyFont="1" applyBorder="1" applyAlignment="1">
      <alignment horizontal="center" vertical="center"/>
    </xf>
    <xf numFmtId="0" fontId="93" fillId="0" borderId="14" xfId="0" applyFont="1" applyBorder="1" applyAlignment="1">
      <alignment horizontal="center" vertical="center" wrapText="1"/>
    </xf>
    <xf numFmtId="0" fontId="43" fillId="0" borderId="0" xfId="63" applyFont="1" applyBorder="1" applyAlignment="1">
      <alignment vertical="center"/>
    </xf>
    <xf numFmtId="0" fontId="43" fillId="0" borderId="0" xfId="63" applyFont="1">
      <alignment vertical="center"/>
    </xf>
    <xf numFmtId="0" fontId="6" fillId="0" borderId="14" xfId="0" applyFont="1" applyBorder="1" applyAlignment="1">
      <alignment horizontal="center" vertical="center"/>
    </xf>
    <xf numFmtId="0" fontId="6" fillId="0" borderId="14" xfId="0" applyFont="1" applyBorder="1" applyAlignment="1" applyProtection="1">
      <alignment vertical="center" wrapText="1"/>
      <protection locked="0"/>
    </xf>
    <xf numFmtId="3" fontId="5" fillId="0" borderId="38" xfId="0" applyNumberFormat="1" applyFont="1" applyBorder="1" applyAlignment="1">
      <alignment horizontal="center" vertical="center" wrapText="1"/>
    </xf>
    <xf numFmtId="0" fontId="6" fillId="0" borderId="13" xfId="60" applyFont="1" applyFill="1" applyBorder="1" applyAlignment="1">
      <alignment horizontal="right" vertical="center"/>
    </xf>
    <xf numFmtId="0" fontId="43" fillId="0" borderId="0" xfId="0" applyFont="1" applyBorder="1" applyAlignment="1">
      <alignment horizontal="left" vertical="center"/>
    </xf>
    <xf numFmtId="49" fontId="6" fillId="26" borderId="22" xfId="0" applyNumberFormat="1" applyFont="1" applyFill="1" applyBorder="1" applyAlignment="1">
      <alignment horizontal="center" vertical="center" wrapText="1"/>
    </xf>
    <xf numFmtId="185" fontId="6" fillId="26" borderId="14" xfId="0" applyNumberFormat="1" applyFont="1" applyFill="1" applyBorder="1" applyAlignment="1">
      <alignment horizontal="center" vertical="center" wrapText="1"/>
    </xf>
    <xf numFmtId="185" fontId="6" fillId="26" borderId="14" xfId="0" applyNumberFormat="1" applyFont="1" applyFill="1" applyBorder="1" applyAlignment="1">
      <alignment vertical="center" wrapText="1"/>
    </xf>
    <xf numFmtId="185" fontId="43" fillId="26" borderId="14" xfId="0" applyNumberFormat="1" applyFont="1" applyFill="1" applyBorder="1" applyAlignment="1">
      <alignment horizontal="center" vertical="center"/>
    </xf>
    <xf numFmtId="0" fontId="11" fillId="26" borderId="30" xfId="63" applyFont="1" applyFill="1" applyBorder="1" applyAlignment="1" applyProtection="1">
      <alignment horizontal="center" vertical="center" wrapText="1"/>
      <protection locked="0"/>
    </xf>
    <xf numFmtId="0" fontId="8" fillId="26" borderId="32" xfId="63" applyFont="1" applyFill="1" applyBorder="1" applyAlignment="1" applyProtection="1">
      <alignment horizontal="center" vertical="center" wrapText="1"/>
    </xf>
    <xf numFmtId="0" fontId="6" fillId="26" borderId="14" xfId="0" applyFont="1" applyFill="1" applyBorder="1" applyAlignment="1">
      <alignment horizontal="center" vertical="center" wrapText="1"/>
    </xf>
    <xf numFmtId="0" fontId="11" fillId="28" borderId="32" xfId="61" applyFont="1" applyFill="1" applyBorder="1" applyAlignment="1" applyProtection="1">
      <alignment horizontal="justify" vertical="top" wrapText="1"/>
    </xf>
    <xf numFmtId="0" fontId="11" fillId="28" borderId="18" xfId="63" applyFont="1" applyFill="1" applyBorder="1" applyAlignment="1" applyProtection="1">
      <alignment horizontal="center" vertical="top" wrapText="1"/>
      <protection locked="0"/>
    </xf>
    <xf numFmtId="0" fontId="10" fillId="28" borderId="19" xfId="63" applyFont="1" applyFill="1" applyBorder="1" applyAlignment="1" applyProtection="1">
      <alignment horizontal="center" vertical="top" wrapText="1"/>
      <protection locked="0"/>
    </xf>
    <xf numFmtId="0" fontId="7" fillId="28" borderId="32" xfId="63" applyFont="1" applyFill="1" applyBorder="1" applyAlignment="1" applyProtection="1">
      <alignment horizontal="center" vertical="top" wrapText="1"/>
      <protection locked="0"/>
    </xf>
    <xf numFmtId="0" fontId="13" fillId="28" borderId="19" xfId="63" applyFont="1" applyFill="1" applyBorder="1" applyAlignment="1" applyProtection="1">
      <alignment horizontal="right" vertical="top" wrapText="1"/>
      <protection locked="0"/>
    </xf>
    <xf numFmtId="0" fontId="13" fillId="28" borderId="19" xfId="63" applyFont="1" applyFill="1" applyBorder="1" applyAlignment="1" applyProtection="1">
      <alignment horizontal="center" vertical="top" wrapText="1"/>
      <protection locked="0"/>
    </xf>
    <xf numFmtId="0" fontId="11" fillId="28" borderId="32" xfId="61" applyFont="1" applyFill="1" applyBorder="1" applyAlignment="1" applyProtection="1">
      <alignment horizontal="justify" vertical="center" wrapText="1"/>
    </xf>
    <xf numFmtId="0" fontId="15" fillId="28" borderId="33" xfId="63" applyFont="1" applyFill="1" applyBorder="1" applyAlignment="1">
      <alignment horizontal="left" vertical="center" wrapText="1"/>
    </xf>
    <xf numFmtId="10" fontId="11" fillId="28" borderId="32" xfId="63" applyNumberFormat="1" applyFont="1" applyFill="1" applyBorder="1" applyAlignment="1" applyProtection="1">
      <alignment horizontal="right" vertical="top" wrapText="1"/>
      <protection locked="0"/>
    </xf>
    <xf numFmtId="10" fontId="11" fillId="28" borderId="32" xfId="63" applyNumberFormat="1" applyFont="1" applyFill="1" applyBorder="1" applyAlignment="1" applyProtection="1">
      <alignment horizontal="right" vertical="center" wrapText="1"/>
      <protection locked="0"/>
    </xf>
    <xf numFmtId="0" fontId="11" fillId="27" borderId="18" xfId="63" applyFont="1" applyFill="1" applyBorder="1" applyAlignment="1" applyProtection="1">
      <alignment horizontal="center" vertical="top" wrapText="1"/>
      <protection locked="0"/>
    </xf>
    <xf numFmtId="0" fontId="10" fillId="27" borderId="19" xfId="63" applyFont="1" applyFill="1" applyBorder="1" applyAlignment="1" applyProtection="1">
      <alignment horizontal="center" vertical="top" wrapText="1"/>
      <protection locked="0"/>
    </xf>
    <xf numFmtId="0" fontId="7" fillId="27" borderId="18" xfId="63" applyFont="1" applyFill="1" applyBorder="1" applyAlignment="1" applyProtection="1">
      <alignment horizontal="left" vertical="top" wrapText="1"/>
    </xf>
    <xf numFmtId="0" fontId="13" fillId="27" borderId="19" xfId="63" applyFont="1" applyFill="1" applyBorder="1" applyAlignment="1" applyProtection="1">
      <alignment horizontal="right" vertical="top" wrapText="1"/>
      <protection locked="0"/>
    </xf>
    <xf numFmtId="0" fontId="16" fillId="27" borderId="19" xfId="63" applyFont="1" applyFill="1" applyBorder="1" applyAlignment="1" applyProtection="1">
      <alignment horizontal="center" vertical="top" wrapText="1"/>
      <protection locked="0"/>
    </xf>
    <xf numFmtId="0" fontId="10" fillId="27" borderId="18" xfId="63" applyFont="1" applyFill="1" applyBorder="1" applyAlignment="1" applyProtection="1">
      <alignment horizontal="center" vertical="top" wrapText="1"/>
      <protection locked="0"/>
    </xf>
    <xf numFmtId="0" fontId="100" fillId="27" borderId="18" xfId="63" applyFont="1" applyFill="1" applyBorder="1" applyAlignment="1" applyProtection="1">
      <alignment horizontal="center" vertical="top" wrapText="1"/>
      <protection locked="0"/>
    </xf>
    <xf numFmtId="0" fontId="99" fillId="27" borderId="19" xfId="63" applyFont="1" applyFill="1" applyBorder="1" applyAlignment="1" applyProtection="1">
      <alignment horizontal="center" vertical="top" wrapText="1"/>
      <protection locked="0"/>
    </xf>
    <xf numFmtId="0" fontId="100" fillId="27" borderId="18" xfId="63" applyFont="1" applyFill="1" applyBorder="1" applyAlignment="1" applyProtection="1">
      <alignment horizontal="left" vertical="top" wrapText="1"/>
    </xf>
    <xf numFmtId="0" fontId="101" fillId="27" borderId="19" xfId="63" applyFont="1" applyFill="1" applyBorder="1" applyAlignment="1" applyProtection="1">
      <alignment horizontal="right" vertical="top" wrapText="1"/>
      <protection locked="0"/>
    </xf>
    <xf numFmtId="0" fontId="102" fillId="27" borderId="19" xfId="63" applyFont="1" applyFill="1" applyBorder="1" applyAlignment="1" applyProtection="1">
      <alignment horizontal="center" vertical="top" wrapText="1"/>
      <protection locked="0"/>
    </xf>
    <xf numFmtId="0" fontId="6" fillId="26" borderId="14" xfId="0" applyFont="1" applyFill="1" applyBorder="1">
      <alignment vertical="center"/>
    </xf>
    <xf numFmtId="0" fontId="6" fillId="26" borderId="0" xfId="0" applyFont="1" applyFill="1">
      <alignment vertical="center"/>
    </xf>
    <xf numFmtId="0" fontId="7" fillId="26" borderId="14" xfId="0" applyFont="1" applyFill="1" applyBorder="1" applyAlignment="1">
      <alignment horizontal="center" vertical="center"/>
    </xf>
    <xf numFmtId="0" fontId="6" fillId="26" borderId="14" xfId="0" applyFont="1" applyFill="1" applyBorder="1" applyAlignment="1">
      <alignment vertical="center" wrapText="1"/>
    </xf>
    <xf numFmtId="0" fontId="6" fillId="26" borderId="34" xfId="0" applyFont="1" applyFill="1" applyBorder="1" applyAlignment="1">
      <alignment horizontal="center" vertical="center" wrapText="1"/>
    </xf>
    <xf numFmtId="0" fontId="7" fillId="26" borderId="16" xfId="0" applyFont="1" applyFill="1" applyBorder="1" applyAlignment="1">
      <alignment horizontal="center" vertical="center" wrapText="1"/>
    </xf>
    <xf numFmtId="0" fontId="17" fillId="26" borderId="15" xfId="0" applyFont="1" applyFill="1" applyBorder="1" applyAlignment="1">
      <alignment horizontal="center" vertical="center" wrapText="1"/>
    </xf>
    <xf numFmtId="0" fontId="43" fillId="0" borderId="14" xfId="0" applyFont="1" applyBorder="1" applyAlignment="1">
      <alignment vertical="center"/>
    </xf>
    <xf numFmtId="0" fontId="5" fillId="0" borderId="14" xfId="0" applyFont="1" applyBorder="1" applyAlignment="1">
      <alignment horizontal="left" vertical="center"/>
    </xf>
    <xf numFmtId="0" fontId="43" fillId="26" borderId="34" xfId="0" applyFont="1" applyFill="1" applyBorder="1" applyAlignment="1">
      <alignment horizontal="center" vertical="center" wrapText="1"/>
    </xf>
    <xf numFmtId="0" fontId="17" fillId="26" borderId="16" xfId="0" applyFont="1" applyFill="1" applyBorder="1" applyAlignment="1">
      <alignment horizontal="center" vertical="center" wrapText="1"/>
    </xf>
    <xf numFmtId="0" fontId="41" fillId="0" borderId="14" xfId="0" applyFont="1" applyBorder="1" applyAlignment="1">
      <alignment horizontal="left" vertical="center"/>
    </xf>
    <xf numFmtId="186" fontId="69" fillId="0" borderId="0" xfId="0" applyNumberFormat="1" applyFont="1">
      <alignment vertical="center"/>
    </xf>
    <xf numFmtId="186" fontId="7" fillId="0" borderId="14" xfId="0" applyNumberFormat="1" applyFont="1" applyBorder="1" applyAlignment="1">
      <alignment horizontal="center" vertical="center" wrapText="1"/>
    </xf>
    <xf numFmtId="186" fontId="7" fillId="0" borderId="14" xfId="0" applyNumberFormat="1" applyFont="1" applyBorder="1" applyAlignment="1">
      <alignment vertical="center" wrapText="1"/>
    </xf>
    <xf numFmtId="186" fontId="5" fillId="0" borderId="0" xfId="0" applyNumberFormat="1" applyFont="1">
      <alignment vertical="center"/>
    </xf>
    <xf numFmtId="186" fontId="6" fillId="26" borderId="14" xfId="0" applyNumberFormat="1" applyFont="1" applyFill="1" applyBorder="1" applyAlignment="1">
      <alignment horizontal="center" vertical="center" wrapText="1"/>
    </xf>
    <xf numFmtId="185" fontId="7" fillId="0" borderId="0" xfId="0" applyNumberFormat="1" applyFont="1">
      <alignment vertical="center"/>
    </xf>
    <xf numFmtId="10" fontId="9" fillId="28" borderId="32" xfId="63" applyNumberFormat="1" applyFont="1" applyFill="1" applyBorder="1" applyAlignment="1" applyProtection="1">
      <alignment horizontal="center" vertical="center" wrapText="1"/>
      <protection locked="0"/>
    </xf>
    <xf numFmtId="10" fontId="9" fillId="28" borderId="32" xfId="63" applyNumberFormat="1" applyFont="1" applyFill="1" applyBorder="1" applyAlignment="1" applyProtection="1">
      <alignment horizontal="center" vertical="top" wrapText="1"/>
      <protection locked="0"/>
    </xf>
    <xf numFmtId="187" fontId="11" fillId="0" borderId="14" xfId="0" applyNumberFormat="1" applyFont="1" applyBorder="1" applyAlignment="1" applyProtection="1">
      <alignment horizontal="right" vertical="center"/>
      <protection locked="0"/>
    </xf>
    <xf numFmtId="187" fontId="11" fillId="0" borderId="14" xfId="0" applyNumberFormat="1" applyFont="1" applyBorder="1" applyAlignment="1">
      <alignment horizontal="right" vertical="center"/>
    </xf>
    <xf numFmtId="187" fontId="11" fillId="0" borderId="14" xfId="0" applyNumberFormat="1" applyFont="1" applyBorder="1" applyAlignment="1">
      <alignment horizontal="center" vertical="center"/>
    </xf>
    <xf numFmtId="49" fontId="53" fillId="0" borderId="14" xfId="0" applyNumberFormat="1" applyFont="1" applyBorder="1" applyAlignment="1">
      <alignment horizontal="center" vertical="center"/>
    </xf>
    <xf numFmtId="49" fontId="53" fillId="0" borderId="14" xfId="0" applyNumberFormat="1" applyFont="1" applyBorder="1" applyAlignment="1" applyProtection="1">
      <alignment vertical="center" wrapText="1"/>
      <protection locked="0"/>
    </xf>
    <xf numFmtId="188" fontId="72" fillId="0" borderId="21" xfId="60" applyNumberFormat="1" applyFont="1" applyFill="1" applyBorder="1" applyAlignment="1">
      <alignment horizontal="right" vertical="top" wrapText="1"/>
    </xf>
    <xf numFmtId="188" fontId="71" fillId="0" borderId="21" xfId="60" applyNumberFormat="1" applyFont="1" applyFill="1" applyBorder="1" applyAlignment="1">
      <alignment horizontal="right" vertical="top" wrapText="1"/>
    </xf>
    <xf numFmtId="181" fontId="5" fillId="0" borderId="23" xfId="0" applyNumberFormat="1" applyFont="1" applyBorder="1">
      <alignment vertical="center"/>
    </xf>
    <xf numFmtId="181" fontId="5" fillId="0" borderId="15" xfId="0" applyNumberFormat="1" applyFont="1" applyBorder="1">
      <alignment vertical="center"/>
    </xf>
    <xf numFmtId="0" fontId="6" fillId="0" borderId="38" xfId="0" applyFont="1" applyBorder="1" applyAlignment="1">
      <alignment horizontal="center" vertical="center" wrapText="1"/>
    </xf>
    <xf numFmtId="0" fontId="43" fillId="0" borderId="15" xfId="0" applyFont="1" applyBorder="1">
      <alignment vertical="center"/>
    </xf>
    <xf numFmtId="0" fontId="43" fillId="0" borderId="16" xfId="0" applyFont="1" applyBorder="1">
      <alignment vertical="center"/>
    </xf>
    <xf numFmtId="181" fontId="5" fillId="0" borderId="34" xfId="0" applyNumberFormat="1" applyFont="1" applyBorder="1">
      <alignment vertical="center"/>
    </xf>
    <xf numFmtId="0" fontId="6" fillId="0" borderId="34" xfId="0" applyFont="1" applyBorder="1">
      <alignment vertical="center"/>
    </xf>
    <xf numFmtId="0" fontId="5" fillId="0" borderId="15" xfId="0" applyFont="1" applyBorder="1">
      <alignment vertical="center"/>
    </xf>
    <xf numFmtId="0" fontId="5" fillId="0" borderId="16" xfId="0" applyFont="1" applyBorder="1">
      <alignment vertical="center"/>
    </xf>
    <xf numFmtId="0" fontId="43" fillId="0" borderId="34" xfId="0" applyFont="1" applyBorder="1">
      <alignment vertical="center"/>
    </xf>
    <xf numFmtId="188" fontId="41" fillId="0" borderId="14" xfId="0" applyNumberFormat="1" applyFont="1" applyFill="1" applyBorder="1">
      <alignment vertical="center"/>
    </xf>
    <xf numFmtId="0" fontId="41" fillId="0" borderId="0" xfId="64" applyFont="1">
      <alignment vertical="center"/>
    </xf>
    <xf numFmtId="0" fontId="40" fillId="0" borderId="0" xfId="64" applyFont="1" applyAlignment="1">
      <alignment horizontal="right" vertical="center"/>
    </xf>
    <xf numFmtId="0" fontId="41" fillId="0" borderId="0" xfId="64" applyFont="1" applyAlignment="1">
      <alignment horizontal="left" vertical="center"/>
    </xf>
    <xf numFmtId="0" fontId="40" fillId="0" borderId="0" xfId="64" applyFont="1" applyAlignment="1">
      <alignment horizontal="left" vertical="center"/>
    </xf>
    <xf numFmtId="0" fontId="43" fillId="26" borderId="14" xfId="64" applyFont="1" applyFill="1" applyBorder="1" applyAlignment="1">
      <alignment horizontal="center" vertical="center"/>
    </xf>
    <xf numFmtId="0" fontId="43" fillId="26" borderId="14" xfId="64" applyFont="1" applyFill="1" applyBorder="1" applyAlignment="1">
      <alignment horizontal="center" vertical="center" wrapText="1"/>
    </xf>
    <xf numFmtId="0" fontId="41" fillId="0" borderId="24" xfId="64" applyFont="1" applyFill="1" applyBorder="1" applyAlignment="1">
      <alignment horizontal="center" vertical="center" wrapText="1"/>
    </xf>
    <xf numFmtId="0" fontId="41" fillId="0" borderId="0" xfId="64" applyFont="1" applyAlignment="1">
      <alignment horizontal="center" vertical="center"/>
    </xf>
    <xf numFmtId="0" fontId="43" fillId="0" borderId="14" xfId="64" applyFont="1" applyBorder="1" applyAlignment="1">
      <alignment horizontal="center" vertical="center"/>
    </xf>
    <xf numFmtId="180" fontId="5" fillId="0" borderId="14" xfId="65" applyNumberFormat="1" applyFont="1" applyFill="1" applyBorder="1" applyAlignment="1">
      <alignment horizontal="right" vertical="center"/>
    </xf>
    <xf numFmtId="10" fontId="5" fillId="0" borderId="14" xfId="65" applyNumberFormat="1" applyFont="1" applyFill="1" applyBorder="1" applyAlignment="1">
      <alignment horizontal="right" vertical="center"/>
    </xf>
    <xf numFmtId="186" fontId="41" fillId="0" borderId="24" xfId="64" applyNumberFormat="1" applyFont="1" applyBorder="1" applyAlignment="1">
      <alignment horizontal="right" vertical="center"/>
    </xf>
    <xf numFmtId="180" fontId="5" fillId="0" borderId="14" xfId="65" applyNumberFormat="1" applyFont="1" applyBorder="1" applyAlignment="1">
      <alignment horizontal="right" vertical="center"/>
    </xf>
    <xf numFmtId="10" fontId="41" fillId="0" borderId="0" xfId="64" applyNumberFormat="1" applyFont="1">
      <alignment vertical="center"/>
    </xf>
    <xf numFmtId="180" fontId="43" fillId="0" borderId="14" xfId="64" applyNumberFormat="1" applyFont="1" applyFill="1" applyBorder="1" applyAlignment="1">
      <alignment horizontal="center" vertical="center"/>
    </xf>
    <xf numFmtId="0" fontId="41" fillId="0" borderId="0" xfId="64" applyFont="1" applyAlignment="1">
      <alignment horizontal="right" vertical="center"/>
    </xf>
    <xf numFmtId="180" fontId="12" fillId="29" borderId="14" xfId="65" applyNumberFormat="1" applyFont="1" applyFill="1" applyBorder="1" applyAlignment="1">
      <alignment horizontal="center" vertical="center"/>
    </xf>
    <xf numFmtId="10" fontId="17" fillId="29" borderId="14" xfId="65" applyNumberFormat="1" applyFont="1" applyFill="1" applyBorder="1" applyAlignment="1">
      <alignment horizontal="center" vertical="center"/>
    </xf>
    <xf numFmtId="10" fontId="12" fillId="29" borderId="14" xfId="65" applyNumberFormat="1" applyFont="1" applyFill="1" applyBorder="1" applyAlignment="1">
      <alignment horizontal="center" vertical="center"/>
    </xf>
    <xf numFmtId="0" fontId="7" fillId="0" borderId="0" xfId="64" applyFont="1">
      <alignment vertical="center"/>
    </xf>
    <xf numFmtId="0" fontId="5" fillId="0" borderId="0" xfId="64" applyFont="1">
      <alignment vertical="center"/>
    </xf>
    <xf numFmtId="0" fontId="6" fillId="0" borderId="0" xfId="64" applyFont="1">
      <alignment vertical="center"/>
    </xf>
    <xf numFmtId="0" fontId="6" fillId="0" borderId="0" xfId="64" applyFont="1" applyAlignment="1">
      <alignment horizontal="left" vertical="center"/>
    </xf>
    <xf numFmtId="0" fontId="40" fillId="26" borderId="14" xfId="64" applyFont="1" applyFill="1" applyBorder="1" applyAlignment="1">
      <alignment horizontal="center" vertical="center"/>
    </xf>
    <xf numFmtId="0" fontId="40" fillId="0" borderId="22" xfId="64" applyFont="1" applyFill="1" applyBorder="1" applyAlignment="1">
      <alignment horizontal="right" vertical="center" wrapText="1"/>
    </xf>
    <xf numFmtId="0" fontId="40" fillId="0" borderId="40" xfId="64" applyFont="1" applyFill="1" applyBorder="1" applyAlignment="1">
      <alignment horizontal="right" vertical="center" wrapText="1"/>
    </xf>
    <xf numFmtId="0" fontId="40" fillId="26" borderId="14" xfId="64" applyFont="1" applyFill="1" applyBorder="1" applyAlignment="1">
      <alignment horizontal="center" vertical="center" wrapText="1"/>
    </xf>
    <xf numFmtId="0" fontId="40" fillId="26" borderId="22" xfId="64" applyFont="1" applyFill="1" applyBorder="1" applyAlignment="1">
      <alignment horizontal="center" vertical="center" wrapText="1"/>
    </xf>
    <xf numFmtId="0" fontId="40" fillId="26" borderId="41" xfId="64" applyFont="1" applyFill="1" applyBorder="1" applyAlignment="1">
      <alignment horizontal="center" vertical="center" wrapText="1"/>
    </xf>
    <xf numFmtId="0" fontId="41" fillId="0" borderId="14" xfId="64" applyFont="1" applyBorder="1" applyAlignment="1">
      <alignment horizontal="center" vertical="center"/>
    </xf>
    <xf numFmtId="180" fontId="17" fillId="0" borderId="14" xfId="69" applyNumberFormat="1" applyFont="1" applyFill="1" applyBorder="1" applyAlignment="1">
      <alignment vertical="center"/>
    </xf>
    <xf numFmtId="3" fontId="17" fillId="0" borderId="14" xfId="69" applyNumberFormat="1" applyFont="1" applyFill="1" applyBorder="1" applyAlignment="1">
      <alignment vertical="center"/>
    </xf>
    <xf numFmtId="0" fontId="41" fillId="0" borderId="42" xfId="64" applyFont="1" applyBorder="1" applyAlignment="1">
      <alignment horizontal="left" vertical="center"/>
    </xf>
    <xf numFmtId="3" fontId="17" fillId="0" borderId="41" xfId="65" applyNumberFormat="1" applyFont="1" applyBorder="1"/>
    <xf numFmtId="0" fontId="17" fillId="0" borderId="14" xfId="65" applyNumberFormat="1" applyFont="1" applyBorder="1"/>
    <xf numFmtId="180" fontId="41" fillId="0" borderId="26" xfId="64" applyNumberFormat="1" applyFont="1" applyBorder="1" applyAlignment="1">
      <alignment horizontal="right" vertical="center"/>
    </xf>
    <xf numFmtId="3" fontId="17" fillId="0" borderId="14" xfId="65" applyNumberFormat="1" applyFont="1" applyBorder="1"/>
    <xf numFmtId="3" fontId="17" fillId="0" borderId="22" xfId="69" applyNumberFormat="1" applyFont="1" applyFill="1" applyBorder="1" applyAlignment="1">
      <alignment vertical="center"/>
    </xf>
    <xf numFmtId="180" fontId="17" fillId="0" borderId="22" xfId="65" applyNumberFormat="1" applyFont="1" applyBorder="1" applyAlignment="1">
      <alignment horizontal="right" vertical="center"/>
    </xf>
    <xf numFmtId="180" fontId="41" fillId="0" borderId="26" xfId="64" applyNumberFormat="1" applyFont="1" applyFill="1" applyBorder="1" applyAlignment="1">
      <alignment horizontal="right" vertical="center"/>
    </xf>
    <xf numFmtId="180" fontId="17" fillId="0" borderId="22" xfId="65" applyNumberFormat="1" applyFont="1" applyFill="1" applyBorder="1" applyAlignment="1">
      <alignment horizontal="right" vertical="center"/>
    </xf>
    <xf numFmtId="180" fontId="7" fillId="0" borderId="26" xfId="65" applyNumberFormat="1" applyFont="1" applyBorder="1" applyAlignment="1">
      <alignment horizontal="right"/>
    </xf>
    <xf numFmtId="180" fontId="17" fillId="0" borderId="14" xfId="65" applyNumberFormat="1" applyFont="1" applyBorder="1" applyAlignment="1">
      <alignment horizontal="right" vertical="center"/>
    </xf>
    <xf numFmtId="180" fontId="17" fillId="0" borderId="14" xfId="65" applyNumberFormat="1" applyFont="1" applyFill="1" applyBorder="1" applyAlignment="1">
      <alignment horizontal="right" vertical="center"/>
    </xf>
    <xf numFmtId="180" fontId="7" fillId="0" borderId="41" xfId="65" applyNumberFormat="1" applyFont="1" applyBorder="1" applyAlignment="1">
      <alignment horizontal="right"/>
    </xf>
    <xf numFmtId="0" fontId="41" fillId="0" borderId="22" xfId="64" applyFont="1" applyBorder="1">
      <alignment vertical="center"/>
    </xf>
    <xf numFmtId="180" fontId="7" fillId="0" borderId="14" xfId="65" applyNumberFormat="1" applyFont="1" applyBorder="1" applyAlignment="1">
      <alignment horizontal="right"/>
    </xf>
    <xf numFmtId="180" fontId="103" fillId="0" borderId="14" xfId="65" applyNumberFormat="1" applyBorder="1" applyAlignment="1">
      <alignment horizontal="right"/>
    </xf>
    <xf numFmtId="180" fontId="107" fillId="0" borderId="14" xfId="65" applyNumberFormat="1" applyFont="1" applyBorder="1" applyAlignment="1">
      <alignment horizontal="right" vertical="center"/>
    </xf>
    <xf numFmtId="180" fontId="103" fillId="0" borderId="41" xfId="65" applyNumberFormat="1" applyBorder="1" applyAlignment="1">
      <alignment horizontal="right"/>
    </xf>
    <xf numFmtId="180" fontId="107" fillId="0" borderId="14" xfId="65" applyNumberFormat="1" applyFont="1" applyFill="1" applyBorder="1" applyAlignment="1">
      <alignment horizontal="right" vertical="center"/>
    </xf>
    <xf numFmtId="180" fontId="107" fillId="0" borderId="14" xfId="65" applyNumberFormat="1" applyFont="1" applyBorder="1" applyAlignment="1">
      <alignment horizontal="right"/>
    </xf>
    <xf numFmtId="180" fontId="41" fillId="0" borderId="22" xfId="64" applyNumberFormat="1" applyFont="1" applyBorder="1" applyAlignment="1">
      <alignment horizontal="right" vertical="center"/>
    </xf>
    <xf numFmtId="180" fontId="103" fillId="0" borderId="41" xfId="65" applyNumberFormat="1" applyFont="1" applyFill="1" applyBorder="1" applyAlignment="1">
      <alignment horizontal="right"/>
    </xf>
    <xf numFmtId="180" fontId="41" fillId="0" borderId="14" xfId="64" applyNumberFormat="1" applyFont="1" applyBorder="1" applyAlignment="1">
      <alignment horizontal="right" vertical="center"/>
    </xf>
    <xf numFmtId="0" fontId="41" fillId="0" borderId="34" xfId="64" applyFont="1" applyBorder="1" applyAlignment="1">
      <alignment horizontal="center" vertical="center"/>
    </xf>
    <xf numFmtId="180" fontId="41" fillId="0" borderId="34" xfId="64" applyNumberFormat="1" applyFont="1" applyBorder="1" applyAlignment="1">
      <alignment horizontal="right" vertical="center"/>
    </xf>
    <xf numFmtId="180" fontId="41" fillId="0" borderId="23" xfId="64" applyNumberFormat="1" applyFont="1" applyBorder="1" applyAlignment="1">
      <alignment horizontal="right" vertical="center"/>
    </xf>
    <xf numFmtId="180" fontId="103" fillId="0" borderId="43" xfId="65" applyNumberFormat="1" applyBorder="1" applyAlignment="1">
      <alignment horizontal="right"/>
    </xf>
    <xf numFmtId="0" fontId="41" fillId="0" borderId="44" xfId="64" applyFont="1" applyBorder="1">
      <alignment vertical="center"/>
    </xf>
    <xf numFmtId="180" fontId="41" fillId="0" borderId="45" xfId="64" applyNumberFormat="1" applyFont="1" applyBorder="1" applyAlignment="1">
      <alignment horizontal="right" vertical="center"/>
    </xf>
    <xf numFmtId="0" fontId="41" fillId="0" borderId="46" xfId="64" applyFont="1" applyBorder="1" applyAlignment="1">
      <alignment horizontal="center" vertical="center"/>
    </xf>
    <xf numFmtId="0" fontId="41" fillId="0" borderId="47" xfId="64" applyFont="1" applyBorder="1" applyAlignment="1">
      <alignment horizontal="center" vertical="center"/>
    </xf>
    <xf numFmtId="0" fontId="40" fillId="26" borderId="48" xfId="64" applyFont="1" applyFill="1" applyBorder="1" applyAlignment="1">
      <alignment vertical="center"/>
    </xf>
    <xf numFmtId="0" fontId="40" fillId="26" borderId="41" xfId="64" applyFont="1" applyFill="1" applyBorder="1" applyAlignment="1">
      <alignment vertical="center"/>
    </xf>
    <xf numFmtId="180" fontId="41" fillId="0" borderId="22" xfId="64" applyNumberFormat="1" applyFont="1" applyBorder="1" applyAlignment="1">
      <alignment horizontal="left" vertical="center"/>
    </xf>
    <xf numFmtId="0" fontId="40" fillId="0" borderId="0" xfId="64" applyFont="1">
      <alignment vertical="center"/>
    </xf>
    <xf numFmtId="180" fontId="41" fillId="0" borderId="14" xfId="64" applyNumberFormat="1" applyFont="1" applyFill="1" applyBorder="1" applyAlignment="1">
      <alignment horizontal="center" vertical="center"/>
    </xf>
    <xf numFmtId="180" fontId="41" fillId="0" borderId="22" xfId="64" applyNumberFormat="1" applyFont="1" applyFill="1" applyBorder="1">
      <alignment vertical="center"/>
    </xf>
    <xf numFmtId="0" fontId="41" fillId="0" borderId="14" xfId="64" applyFont="1" applyBorder="1">
      <alignment vertical="center"/>
    </xf>
    <xf numFmtId="184" fontId="41" fillId="0" borderId="14" xfId="64" applyNumberFormat="1" applyFont="1" applyBorder="1">
      <alignment vertical="center"/>
    </xf>
    <xf numFmtId="180" fontId="41" fillId="0" borderId="41" xfId="64" applyNumberFormat="1" applyFont="1" applyFill="1" applyBorder="1" applyAlignment="1">
      <alignment horizontal="center" vertical="center"/>
    </xf>
    <xf numFmtId="180" fontId="41" fillId="0" borderId="22" xfId="64" applyNumberFormat="1" applyFont="1" applyBorder="1">
      <alignment vertical="center"/>
    </xf>
    <xf numFmtId="180" fontId="41" fillId="0" borderId="22" xfId="64" applyNumberFormat="1" applyFont="1" applyFill="1" applyBorder="1" applyAlignment="1">
      <alignment horizontal="center" vertical="center"/>
    </xf>
    <xf numFmtId="180" fontId="41" fillId="0" borderId="14" xfId="64" applyNumberFormat="1" applyFont="1" applyBorder="1" applyAlignment="1">
      <alignment horizontal="left" vertical="center"/>
    </xf>
    <xf numFmtId="184" fontId="41" fillId="0" borderId="41" xfId="64" applyNumberFormat="1" applyFont="1" applyBorder="1">
      <alignment vertical="center"/>
    </xf>
    <xf numFmtId="180" fontId="41" fillId="0" borderId="22" xfId="64" applyNumberFormat="1" applyFont="1" applyFill="1" applyBorder="1" applyAlignment="1">
      <alignment horizontal="right" vertical="center"/>
    </xf>
    <xf numFmtId="180" fontId="17" fillId="0" borderId="41" xfId="65" applyNumberFormat="1" applyFont="1" applyBorder="1" applyAlignment="1">
      <alignment horizontal="right"/>
    </xf>
    <xf numFmtId="180" fontId="17" fillId="0" borderId="14" xfId="65" applyNumberFormat="1" applyFont="1" applyBorder="1" applyAlignment="1">
      <alignment horizontal="right"/>
    </xf>
    <xf numFmtId="180" fontId="41" fillId="0" borderId="42" xfId="64" applyNumberFormat="1" applyFont="1" applyBorder="1" applyAlignment="1">
      <alignment horizontal="right" vertical="center"/>
    </xf>
    <xf numFmtId="180" fontId="17" fillId="0" borderId="22" xfId="69" applyNumberFormat="1" applyFont="1" applyFill="1" applyBorder="1" applyAlignment="1">
      <alignment vertical="center"/>
    </xf>
    <xf numFmtId="180" fontId="17" fillId="0" borderId="42" xfId="65" applyNumberFormat="1" applyFont="1" applyBorder="1" applyAlignment="1">
      <alignment horizontal="right"/>
    </xf>
    <xf numFmtId="180" fontId="41" fillId="0" borderId="42" xfId="64" applyNumberFormat="1" applyFont="1" applyFill="1" applyBorder="1" applyAlignment="1">
      <alignment horizontal="right" vertical="center"/>
    </xf>
    <xf numFmtId="186" fontId="7" fillId="0" borderId="41" xfId="65" applyNumberFormat="1" applyFont="1" applyBorder="1" applyAlignment="1">
      <alignment horizontal="right"/>
    </xf>
    <xf numFmtId="186" fontId="41" fillId="0" borderId="14" xfId="64" applyNumberFormat="1" applyFont="1" applyFill="1" applyBorder="1" applyAlignment="1">
      <alignment horizontal="right" vertical="center"/>
    </xf>
    <xf numFmtId="186" fontId="103" fillId="0" borderId="41" xfId="65" applyNumberFormat="1" applyBorder="1" applyAlignment="1">
      <alignment horizontal="right"/>
    </xf>
    <xf numFmtId="180" fontId="107" fillId="0" borderId="14" xfId="65" applyNumberFormat="1" applyFont="1" applyFill="1" applyBorder="1" applyAlignment="1">
      <alignment horizontal="right"/>
    </xf>
    <xf numFmtId="186" fontId="41" fillId="0" borderId="14" xfId="64" applyNumberFormat="1" applyFont="1" applyBorder="1" applyAlignment="1">
      <alignment horizontal="right" vertical="center"/>
    </xf>
    <xf numFmtId="186" fontId="103" fillId="0" borderId="41" xfId="65" applyNumberFormat="1" applyFont="1" applyFill="1" applyBorder="1" applyAlignment="1">
      <alignment horizontal="right"/>
    </xf>
    <xf numFmtId="186" fontId="103" fillId="0" borderId="43" xfId="65" applyNumberFormat="1" applyBorder="1" applyAlignment="1">
      <alignment horizontal="right"/>
    </xf>
    <xf numFmtId="186" fontId="41" fillId="0" borderId="34" xfId="64" applyNumberFormat="1" applyFont="1" applyBorder="1" applyAlignment="1">
      <alignment horizontal="right" vertical="center"/>
    </xf>
    <xf numFmtId="180" fontId="41" fillId="0" borderId="14" xfId="64" applyNumberFormat="1" applyFont="1" applyFill="1" applyBorder="1" applyAlignment="1">
      <alignment horizontal="right" vertical="center"/>
    </xf>
    <xf numFmtId="180" fontId="17" fillId="0" borderId="14" xfId="65" applyNumberFormat="1" applyFont="1" applyBorder="1" applyAlignment="1">
      <alignment vertical="center"/>
    </xf>
    <xf numFmtId="180" fontId="17" fillId="0" borderId="41" xfId="65" applyNumberFormat="1" applyFont="1" applyBorder="1"/>
    <xf numFmtId="180" fontId="17" fillId="0" borderId="14" xfId="65" applyNumberFormat="1" applyFont="1" applyFill="1" applyBorder="1"/>
    <xf numFmtId="180" fontId="17" fillId="0" borderId="14" xfId="65" applyNumberFormat="1" applyFont="1" applyBorder="1"/>
    <xf numFmtId="180" fontId="17" fillId="0" borderId="22" xfId="65" applyNumberFormat="1" applyFont="1" applyBorder="1" applyAlignment="1">
      <alignment vertical="center"/>
    </xf>
    <xf numFmtId="180" fontId="17" fillId="0" borderId="14" xfId="65" applyNumberFormat="1" applyFont="1" applyFill="1" applyBorder="1" applyAlignment="1">
      <alignment vertical="center"/>
    </xf>
    <xf numFmtId="180" fontId="17" fillId="0" borderId="22" xfId="65" applyNumberFormat="1" applyFont="1" applyFill="1" applyBorder="1" applyAlignment="1">
      <alignment vertical="center"/>
    </xf>
    <xf numFmtId="180" fontId="17" fillId="0" borderId="41" xfId="65" applyNumberFormat="1" applyFont="1" applyFill="1" applyBorder="1"/>
    <xf numFmtId="180" fontId="41" fillId="0" borderId="14" xfId="64" applyNumberFormat="1" applyFont="1" applyBorder="1">
      <alignment vertical="center"/>
    </xf>
    <xf numFmtId="3" fontId="70" fillId="0" borderId="14" xfId="0" applyNumberFormat="1" applyFont="1" applyBorder="1" applyAlignment="1">
      <alignment horizontal="right" vertical="top" wrapText="1"/>
    </xf>
    <xf numFmtId="0" fontId="70" fillId="0" borderId="14" xfId="0" applyFont="1" applyBorder="1" applyAlignment="1">
      <alignment horizontal="justify" vertical="top" wrapText="1"/>
    </xf>
    <xf numFmtId="0" fontId="0" fillId="0" borderId="25" xfId="0" applyBorder="1" applyAlignment="1">
      <alignment vertical="top" wrapText="1"/>
    </xf>
    <xf numFmtId="0" fontId="70" fillId="0" borderId="14" xfId="0" applyFont="1" applyBorder="1" applyAlignment="1">
      <alignment horizontal="center" vertical="center" wrapText="1"/>
    </xf>
    <xf numFmtId="0" fontId="70" fillId="0" borderId="24" xfId="0" applyFont="1" applyBorder="1" applyAlignment="1">
      <alignment horizontal="center" vertical="top" wrapText="1"/>
    </xf>
    <xf numFmtId="0" fontId="0" fillId="0" borderId="24" xfId="0" applyBorder="1" applyAlignment="1">
      <alignment vertical="top" wrapText="1"/>
    </xf>
    <xf numFmtId="3" fontId="0" fillId="0" borderId="0" xfId="0" applyNumberFormat="1">
      <alignment vertical="center"/>
    </xf>
    <xf numFmtId="3" fontId="70" fillId="0" borderId="14" xfId="0" applyNumberFormat="1" applyFont="1" applyBorder="1" applyAlignment="1">
      <alignment horizontal="right" vertical="center" wrapText="1"/>
    </xf>
    <xf numFmtId="10" fontId="70" fillId="0" borderId="14" xfId="0" applyNumberFormat="1" applyFont="1" applyBorder="1" applyAlignment="1">
      <alignment horizontal="right" vertical="center" wrapText="1"/>
    </xf>
    <xf numFmtId="0" fontId="40" fillId="0" borderId="14" xfId="0" applyFont="1" applyBorder="1" applyAlignment="1">
      <alignment horizontal="justify" vertical="center" wrapText="1"/>
    </xf>
    <xf numFmtId="0" fontId="70" fillId="0" borderId="14" xfId="0" applyFont="1" applyBorder="1" applyAlignment="1">
      <alignment vertical="center"/>
    </xf>
    <xf numFmtId="0" fontId="72" fillId="0" borderId="13" xfId="60" applyFont="1" applyBorder="1" applyAlignment="1">
      <alignment horizontal="left" vertical="center"/>
    </xf>
    <xf numFmtId="0" fontId="43" fillId="0" borderId="14" xfId="0" applyFont="1" applyBorder="1" applyAlignment="1">
      <alignment horizontal="center" vertical="center"/>
    </xf>
    <xf numFmtId="180" fontId="41" fillId="0" borderId="49" xfId="64" applyNumberFormat="1" applyFont="1" applyBorder="1" applyAlignment="1">
      <alignment horizontal="right" vertical="center"/>
    </xf>
    <xf numFmtId="3" fontId="41" fillId="0" borderId="45" xfId="64" applyNumberFormat="1" applyFont="1" applyBorder="1" applyAlignment="1">
      <alignment horizontal="right" vertical="center"/>
    </xf>
    <xf numFmtId="180" fontId="41" fillId="0" borderId="44" xfId="64" applyNumberFormat="1" applyFont="1" applyBorder="1" applyAlignment="1">
      <alignment horizontal="right" vertical="center"/>
    </xf>
    <xf numFmtId="0" fontId="69" fillId="0" borderId="13" xfId="60" applyFont="1" applyFill="1" applyBorder="1" applyAlignment="1">
      <alignment horizontal="left" vertical="center"/>
    </xf>
    <xf numFmtId="9" fontId="111" fillId="0" borderId="14" xfId="0" applyNumberFormat="1" applyFont="1" applyBorder="1" applyAlignment="1">
      <alignment horizontal="right" vertical="center"/>
    </xf>
    <xf numFmtId="190" fontId="112" fillId="0" borderId="14" xfId="0" applyNumberFormat="1" applyFont="1" applyBorder="1" applyAlignment="1">
      <alignment horizontal="right" vertical="center"/>
    </xf>
    <xf numFmtId="180" fontId="111" fillId="0" borderId="14" xfId="0" applyNumberFormat="1" applyFont="1" applyBorder="1" applyAlignment="1">
      <alignment horizontal="right" vertical="center"/>
    </xf>
    <xf numFmtId="181" fontId="111" fillId="0" borderId="14" xfId="0" applyNumberFormat="1" applyFont="1" applyBorder="1" applyAlignment="1">
      <alignment horizontal="right" vertical="center"/>
    </xf>
    <xf numFmtId="0" fontId="111" fillId="0" borderId="14" xfId="0" applyFont="1" applyBorder="1" applyAlignment="1">
      <alignment horizontal="center" vertical="center" wrapText="1"/>
    </xf>
    <xf numFmtId="49" fontId="111" fillId="0" borderId="14" xfId="0" applyNumberFormat="1" applyFont="1" applyBorder="1" applyAlignment="1">
      <alignment horizontal="center" vertical="center" wrapText="1"/>
    </xf>
    <xf numFmtId="0" fontId="4" fillId="0" borderId="39" xfId="60" applyFont="1" applyBorder="1" applyAlignment="1">
      <alignment horizontal="center" vertical="center" wrapText="1"/>
    </xf>
    <xf numFmtId="176" fontId="120" fillId="0" borderId="51" xfId="74" applyNumberFormat="1" applyFont="1" applyFill="1" applyBorder="1" applyAlignment="1">
      <alignment horizontal="right" vertical="center" wrapText="1"/>
    </xf>
    <xf numFmtId="0" fontId="4" fillId="0" borderId="51" xfId="60" applyFont="1" applyBorder="1" applyAlignment="1">
      <alignment horizontal="center" vertical="center" wrapText="1"/>
    </xf>
    <xf numFmtId="0" fontId="120" fillId="0" borderId="51" xfId="60" applyFont="1" applyBorder="1" applyAlignment="1">
      <alignment vertical="center"/>
    </xf>
    <xf numFmtId="0" fontId="122" fillId="0" borderId="51" xfId="60" applyFont="1" applyBorder="1" applyAlignment="1">
      <alignment horizontal="center" vertical="center" wrapText="1"/>
    </xf>
    <xf numFmtId="0" fontId="120" fillId="0" borderId="51" xfId="60" applyFont="1" applyBorder="1" applyAlignment="1">
      <alignment horizontal="center" vertical="center" wrapText="1"/>
    </xf>
    <xf numFmtId="0" fontId="120" fillId="0" borderId="52" xfId="60" applyFont="1" applyBorder="1" applyAlignment="1">
      <alignment horizontal="center" vertical="center"/>
    </xf>
    <xf numFmtId="0" fontId="4" fillId="0" borderId="53" xfId="0" applyFont="1" applyFill="1" applyBorder="1" applyAlignment="1">
      <alignment horizontal="center" vertical="center" wrapText="1"/>
    </xf>
    <xf numFmtId="189" fontId="4" fillId="0" borderId="53" xfId="0" applyNumberFormat="1" applyFont="1" applyFill="1" applyBorder="1" applyAlignment="1">
      <alignment horizontal="center" vertical="center" wrapText="1"/>
    </xf>
    <xf numFmtId="186" fontId="111" fillId="0" borderId="18" xfId="66" applyNumberFormat="1" applyFont="1" applyFill="1" applyBorder="1" applyAlignment="1">
      <alignment horizontal="center" vertical="center" wrapText="1"/>
    </xf>
    <xf numFmtId="0" fontId="120" fillId="0" borderId="18" xfId="0" applyFont="1" applyFill="1" applyBorder="1" applyAlignment="1">
      <alignment vertical="center" wrapText="1"/>
    </xf>
    <xf numFmtId="181" fontId="120" fillId="0" borderId="18" xfId="0" applyNumberFormat="1" applyFont="1" applyFill="1" applyBorder="1" applyAlignment="1">
      <alignment vertical="center" wrapText="1"/>
    </xf>
    <xf numFmtId="182" fontId="120" fillId="0" borderId="18" xfId="66" applyNumberFormat="1" applyFont="1" applyBorder="1" applyAlignment="1">
      <alignment horizontal="center" vertical="center"/>
    </xf>
    <xf numFmtId="10" fontId="120" fillId="0" borderId="18" xfId="0" applyNumberFormat="1" applyFont="1" applyFill="1" applyBorder="1" applyAlignment="1">
      <alignment horizontal="center" vertical="center" wrapText="1"/>
    </xf>
    <xf numFmtId="177" fontId="120" fillId="0" borderId="18" xfId="74" applyNumberFormat="1" applyFont="1" applyFill="1" applyBorder="1" applyAlignment="1">
      <alignment horizontal="center" vertical="center" wrapText="1"/>
    </xf>
    <xf numFmtId="177" fontId="120" fillId="0" borderId="18" xfId="0" applyNumberFormat="1" applyFont="1" applyFill="1" applyBorder="1" applyAlignment="1">
      <alignment horizontal="center" vertical="center" wrapText="1"/>
    </xf>
    <xf numFmtId="9" fontId="120" fillId="0" borderId="18" xfId="0" applyNumberFormat="1" applyFont="1" applyFill="1" applyBorder="1" applyAlignment="1">
      <alignment vertical="center"/>
    </xf>
    <xf numFmtId="0" fontId="120" fillId="0" borderId="54" xfId="0" applyFont="1" applyFill="1" applyBorder="1" applyAlignment="1">
      <alignment vertical="center" wrapText="1"/>
    </xf>
    <xf numFmtId="181" fontId="120" fillId="0" borderId="54" xfId="0" applyNumberFormat="1" applyFont="1" applyFill="1" applyBorder="1" applyAlignment="1">
      <alignment vertical="center" wrapText="1"/>
    </xf>
    <xf numFmtId="182" fontId="120" fillId="0" borderId="54" xfId="66" applyNumberFormat="1" applyFont="1" applyBorder="1" applyAlignment="1">
      <alignment horizontal="center" vertical="center"/>
    </xf>
    <xf numFmtId="186" fontId="111" fillId="0" borderId="54" xfId="0" applyNumberFormat="1" applyFont="1" applyFill="1" applyBorder="1" applyAlignment="1">
      <alignment horizontal="center" vertical="center" wrapText="1"/>
    </xf>
    <xf numFmtId="10" fontId="120" fillId="0" borderId="54" xfId="0" applyNumberFormat="1" applyFont="1" applyFill="1" applyBorder="1" applyAlignment="1">
      <alignment horizontal="center" vertical="center" wrapText="1"/>
    </xf>
    <xf numFmtId="177" fontId="120" fillId="0" borderId="54" xfId="74" applyNumberFormat="1" applyFont="1" applyFill="1" applyBorder="1" applyAlignment="1">
      <alignment horizontal="center" vertical="center" wrapText="1"/>
    </xf>
    <xf numFmtId="177" fontId="120" fillId="0" borderId="54" xfId="0" applyNumberFormat="1" applyFont="1" applyFill="1" applyBorder="1" applyAlignment="1">
      <alignment horizontal="center" vertical="center" wrapText="1"/>
    </xf>
    <xf numFmtId="9" fontId="120" fillId="0" borderId="54" xfId="0" applyNumberFormat="1" applyFont="1" applyFill="1" applyBorder="1" applyAlignment="1">
      <alignment vertical="center"/>
    </xf>
    <xf numFmtId="0" fontId="43" fillId="0" borderId="0" xfId="0" applyFont="1" applyBorder="1" applyAlignment="1">
      <alignment vertical="center"/>
    </xf>
    <xf numFmtId="0" fontId="119" fillId="0" borderId="0" xfId="60" applyFont="1"/>
    <xf numFmtId="0" fontId="4" fillId="0" borderId="0" xfId="0" applyFont="1" applyBorder="1" applyAlignment="1">
      <alignment vertical="center"/>
    </xf>
    <xf numFmtId="0" fontId="129" fillId="0" borderId="0" xfId="60" applyFont="1" applyFill="1" applyBorder="1" applyAlignment="1">
      <alignment vertical="center"/>
    </xf>
    <xf numFmtId="0" fontId="70" fillId="0" borderId="24" xfId="0" applyFont="1" applyFill="1" applyBorder="1" applyAlignment="1">
      <alignment horizontal="center" vertical="top" wrapText="1"/>
    </xf>
    <xf numFmtId="0" fontId="0" fillId="0" borderId="0" xfId="0" applyFont="1">
      <alignment vertical="center"/>
    </xf>
    <xf numFmtId="185" fontId="6" fillId="26" borderId="22" xfId="0" applyNumberFormat="1" applyFont="1" applyFill="1" applyBorder="1" applyAlignment="1">
      <alignment horizontal="justify" vertical="center" wrapText="1"/>
    </xf>
    <xf numFmtId="185" fontId="7" fillId="26" borderId="17" xfId="0" applyNumberFormat="1" applyFont="1" applyFill="1" applyBorder="1" applyAlignment="1">
      <alignment horizontal="justify" vertical="center" wrapText="1"/>
    </xf>
    <xf numFmtId="185" fontId="7" fillId="26" borderId="26" xfId="0" applyNumberFormat="1" applyFont="1" applyFill="1" applyBorder="1" applyAlignment="1">
      <alignment horizontal="justify" vertical="center" wrapText="1"/>
    </xf>
    <xf numFmtId="0" fontId="43" fillId="0" borderId="14" xfId="0" applyFont="1" applyBorder="1" applyAlignment="1">
      <alignment horizontal="center" vertical="center" wrapText="1"/>
    </xf>
    <xf numFmtId="0" fontId="8" fillId="0" borderId="18" xfId="60" applyFont="1" applyBorder="1" applyAlignment="1">
      <alignment horizontal="center" vertical="center"/>
    </xf>
    <xf numFmtId="0" fontId="8" fillId="0" borderId="21" xfId="60" applyFont="1" applyBorder="1" applyAlignment="1">
      <alignment horizontal="center" vertical="center"/>
    </xf>
    <xf numFmtId="177" fontId="43" fillId="0" borderId="18" xfId="60" applyNumberFormat="1" applyFont="1" applyFill="1" applyBorder="1" applyAlignment="1">
      <alignment horizontal="center" vertical="center"/>
    </xf>
    <xf numFmtId="0" fontId="140" fillId="28" borderId="19" xfId="63" applyFont="1" applyFill="1" applyBorder="1" applyAlignment="1" applyProtection="1">
      <alignment horizontal="right" vertical="top" wrapText="1"/>
      <protection locked="0"/>
    </xf>
    <xf numFmtId="0" fontId="141" fillId="28" borderId="18" xfId="63" applyFont="1" applyFill="1" applyBorder="1" applyAlignment="1" applyProtection="1">
      <alignment horizontal="center" vertical="top" wrapText="1"/>
      <protection locked="0"/>
    </xf>
    <xf numFmtId="0" fontId="141" fillId="28" borderId="32" xfId="63" applyFont="1" applyFill="1" applyBorder="1" applyAlignment="1" applyProtection="1">
      <alignment horizontal="left" vertical="top" wrapText="1"/>
      <protection locked="0"/>
    </xf>
    <xf numFmtId="0" fontId="140" fillId="27" borderId="19" xfId="63" applyFont="1" applyFill="1" applyBorder="1" applyAlignment="1" applyProtection="1">
      <alignment horizontal="right" vertical="top" wrapText="1"/>
      <protection locked="0"/>
    </xf>
    <xf numFmtId="0" fontId="141" fillId="27" borderId="18" xfId="63" applyFont="1" applyFill="1" applyBorder="1" applyAlignment="1" applyProtection="1">
      <alignment horizontal="center" vertical="top" wrapText="1"/>
      <protection locked="0"/>
    </xf>
    <xf numFmtId="0" fontId="141" fillId="27" borderId="18" xfId="63" applyFont="1" applyFill="1" applyBorder="1" applyAlignment="1" applyProtection="1">
      <alignment horizontal="left" vertical="top" wrapText="1"/>
      <protection locked="0"/>
    </xf>
    <xf numFmtId="10" fontId="141" fillId="28" borderId="32" xfId="63" applyNumberFormat="1" applyFont="1" applyFill="1" applyBorder="1" applyAlignment="1" applyProtection="1">
      <alignment horizontal="center" vertical="top" wrapText="1"/>
      <protection locked="0"/>
    </xf>
    <xf numFmtId="0" fontId="48" fillId="0" borderId="0" xfId="0" applyFont="1">
      <alignment vertical="center"/>
    </xf>
    <xf numFmtId="0" fontId="43" fillId="0" borderId="51" xfId="60" applyFont="1" applyFill="1" applyBorder="1" applyAlignment="1">
      <alignment horizontal="center" vertical="top" wrapText="1"/>
    </xf>
    <xf numFmtId="0" fontId="4" fillId="0" borderId="13" xfId="0" applyFont="1" applyBorder="1" applyAlignment="1">
      <alignment horizontal="right" vertical="center"/>
    </xf>
    <xf numFmtId="0" fontId="49" fillId="0" borderId="0" xfId="64" applyFont="1" applyAlignment="1">
      <alignment vertical="center"/>
    </xf>
    <xf numFmtId="49" fontId="72" fillId="0" borderId="0" xfId="60" applyNumberFormat="1" applyFont="1" applyFill="1" applyBorder="1" applyAlignment="1">
      <alignment horizontal="left" vertical="center"/>
    </xf>
    <xf numFmtId="0" fontId="5" fillId="0" borderId="32" xfId="60" applyFont="1" applyBorder="1" applyAlignment="1">
      <alignment horizontal="center" vertical="center"/>
    </xf>
    <xf numFmtId="179" fontId="43" fillId="0" borderId="33" xfId="60" applyNumberFormat="1" applyFont="1" applyFill="1" applyBorder="1" applyAlignment="1">
      <alignment horizontal="center" vertical="top" wrapText="1"/>
    </xf>
    <xf numFmtId="0" fontId="8" fillId="0" borderId="21" xfId="60" applyFont="1" applyFill="1" applyBorder="1" applyAlignment="1">
      <alignment horizontal="center" vertical="center"/>
    </xf>
    <xf numFmtId="49" fontId="142" fillId="0" borderId="14" xfId="0" applyNumberFormat="1" applyFont="1" applyFill="1" applyBorder="1" applyAlignment="1">
      <alignment horizontal="center" vertical="center"/>
    </xf>
    <xf numFmtId="0" fontId="7" fillId="26" borderId="55" xfId="63" applyFont="1" applyFill="1" applyBorder="1" applyAlignment="1">
      <alignment horizontal="left" vertical="center" wrapText="1"/>
    </xf>
    <xf numFmtId="0" fontId="43" fillId="0" borderId="0" xfId="0" applyFont="1" applyFill="1" applyBorder="1" applyAlignment="1">
      <alignment horizontal="left" vertical="center" wrapText="1"/>
    </xf>
    <xf numFmtId="0" fontId="43" fillId="0" borderId="0" xfId="0" applyFont="1" applyFill="1" applyBorder="1" applyAlignment="1">
      <alignment horizontal="right" vertical="center" wrapText="1"/>
    </xf>
    <xf numFmtId="0" fontId="6" fillId="31" borderId="14" xfId="64" applyFont="1" applyFill="1" applyBorder="1" applyAlignment="1">
      <alignment horizontal="centerContinuous" vertical="center"/>
    </xf>
    <xf numFmtId="180" fontId="17" fillId="31" borderId="14" xfId="65" applyNumberFormat="1" applyFont="1" applyFill="1" applyBorder="1" applyAlignment="1">
      <alignment horizontal="centerContinuous" vertical="center"/>
    </xf>
    <xf numFmtId="180" fontId="12" fillId="31" borderId="14" xfId="65" applyNumberFormat="1" applyFont="1" applyFill="1" applyBorder="1" applyAlignment="1">
      <alignment horizontal="center" vertical="center"/>
    </xf>
    <xf numFmtId="180" fontId="6" fillId="31" borderId="14" xfId="65" applyNumberFormat="1" applyFont="1" applyFill="1" applyBorder="1" applyAlignment="1">
      <alignment horizontal="centerContinuous" vertical="center"/>
    </xf>
    <xf numFmtId="186" fontId="7" fillId="31" borderId="14" xfId="65" applyNumberFormat="1" applyFont="1" applyFill="1" applyBorder="1" applyAlignment="1">
      <alignment horizontal="centerContinuous"/>
    </xf>
    <xf numFmtId="186" fontId="41" fillId="31" borderId="14" xfId="64" applyNumberFormat="1" applyFont="1" applyFill="1" applyBorder="1" applyAlignment="1">
      <alignment horizontal="centerContinuous" vertical="center"/>
    </xf>
    <xf numFmtId="10" fontId="17" fillId="31" borderId="14" xfId="65" applyNumberFormat="1" applyFont="1" applyFill="1" applyBorder="1" applyAlignment="1">
      <alignment horizontal="center" vertical="center"/>
    </xf>
    <xf numFmtId="10" fontId="12" fillId="31" borderId="14" xfId="65" applyNumberFormat="1" applyFont="1" applyFill="1" applyBorder="1" applyAlignment="1">
      <alignment horizontal="center" vertical="center"/>
    </xf>
    <xf numFmtId="10" fontId="12" fillId="31" borderId="14" xfId="64" applyNumberFormat="1" applyFont="1" applyFill="1" applyBorder="1" applyAlignment="1">
      <alignment horizontal="center" vertical="center"/>
    </xf>
    <xf numFmtId="189" fontId="41" fillId="0" borderId="14" xfId="0" applyNumberFormat="1" applyFont="1" applyFill="1" applyBorder="1">
      <alignment vertical="center"/>
    </xf>
    <xf numFmtId="0" fontId="135" fillId="0" borderId="0" xfId="0" applyFont="1">
      <alignment vertical="center"/>
    </xf>
    <xf numFmtId="49" fontId="11" fillId="30" borderId="14" xfId="0" applyNumberFormat="1" applyFont="1" applyFill="1" applyBorder="1" applyAlignment="1">
      <alignment horizontal="center" vertical="center"/>
    </xf>
    <xf numFmtId="0" fontId="39" fillId="30" borderId="14" xfId="0" applyFont="1" applyFill="1" applyBorder="1" applyAlignment="1">
      <alignment horizontal="left" vertical="center"/>
    </xf>
    <xf numFmtId="49" fontId="11" fillId="30" borderId="14" xfId="0" applyNumberFormat="1" applyFont="1" applyFill="1" applyBorder="1" applyAlignment="1">
      <alignment horizontal="centerContinuous" vertical="center"/>
    </xf>
    <xf numFmtId="0" fontId="6" fillId="29" borderId="14" xfId="0" applyFont="1" applyFill="1" applyBorder="1" applyAlignment="1">
      <alignment horizontal="center" vertical="center"/>
    </xf>
    <xf numFmtId="0" fontId="53" fillId="30" borderId="14" xfId="0" applyFont="1" applyFill="1" applyBorder="1" applyAlignment="1">
      <alignment horizontal="center" vertical="center"/>
    </xf>
    <xf numFmtId="0" fontId="53" fillId="30" borderId="14" xfId="0" applyFont="1" applyFill="1" applyBorder="1" applyAlignment="1" applyProtection="1">
      <alignment vertical="center" wrapText="1"/>
      <protection locked="0"/>
    </xf>
    <xf numFmtId="49" fontId="53" fillId="30" borderId="14" xfId="0" applyNumberFormat="1" applyFont="1" applyFill="1" applyBorder="1" applyAlignment="1">
      <alignment horizontal="center" vertical="center"/>
    </xf>
    <xf numFmtId="0" fontId="6" fillId="29" borderId="34" xfId="0" applyFont="1" applyFill="1" applyBorder="1" applyAlignment="1">
      <alignment horizontal="center" vertical="center" wrapText="1"/>
    </xf>
    <xf numFmtId="0" fontId="136" fillId="0" borderId="14" xfId="0" applyFont="1" applyBorder="1" applyAlignment="1">
      <alignment horizontal="center" vertical="center" wrapText="1"/>
    </xf>
    <xf numFmtId="49" fontId="136" fillId="0" borderId="14" xfId="0" applyNumberFormat="1" applyFont="1" applyBorder="1" applyAlignment="1">
      <alignment horizontal="center" vertical="center" wrapText="1"/>
    </xf>
    <xf numFmtId="49" fontId="137" fillId="0" borderId="14" xfId="0" applyNumberFormat="1" applyFont="1" applyFill="1" applyBorder="1" applyAlignment="1">
      <alignment horizontal="center" vertical="center"/>
    </xf>
    <xf numFmtId="0" fontId="138" fillId="0" borderId="14" xfId="0" applyFont="1" applyBorder="1">
      <alignment vertical="center"/>
    </xf>
    <xf numFmtId="0" fontId="138" fillId="0" borderId="14" xfId="0" applyFont="1" applyBorder="1" applyAlignment="1">
      <alignment horizontal="center" vertical="center" wrapText="1"/>
    </xf>
    <xf numFmtId="49" fontId="138" fillId="0" borderId="14" xfId="0" applyNumberFormat="1" applyFont="1" applyBorder="1" applyAlignment="1">
      <alignment horizontal="center" vertical="center" wrapText="1"/>
    </xf>
    <xf numFmtId="49" fontId="4" fillId="0" borderId="14" xfId="0" applyNumberFormat="1" applyFont="1" applyBorder="1" applyAlignment="1">
      <alignment horizontal="center" vertical="center" wrapText="1"/>
    </xf>
    <xf numFmtId="180" fontId="4" fillId="0" borderId="14" xfId="0" applyNumberFormat="1" applyFont="1" applyBorder="1" applyAlignment="1">
      <alignment horizontal="right" vertical="center"/>
    </xf>
    <xf numFmtId="9" fontId="4" fillId="0" borderId="14" xfId="0" applyNumberFormat="1" applyFont="1" applyBorder="1" applyAlignment="1">
      <alignment horizontal="right" vertical="center"/>
    </xf>
    <xf numFmtId="0" fontId="7" fillId="28" borderId="32" xfId="61" applyFont="1" applyFill="1" applyBorder="1" applyAlignment="1" applyProtection="1">
      <alignment horizontal="justify" vertical="top" wrapText="1"/>
    </xf>
    <xf numFmtId="187" fontId="7" fillId="0" borderId="14" xfId="0" applyNumberFormat="1" applyFont="1" applyBorder="1" applyAlignment="1" applyProtection="1">
      <alignment horizontal="right" vertical="center"/>
      <protection locked="0"/>
    </xf>
    <xf numFmtId="187" fontId="7" fillId="0" borderId="14" xfId="0" applyNumberFormat="1" applyFont="1" applyBorder="1" applyAlignment="1">
      <alignment horizontal="right" vertical="center"/>
    </xf>
    <xf numFmtId="0" fontId="2" fillId="0" borderId="0" xfId="0" applyFont="1">
      <alignment vertical="center"/>
    </xf>
    <xf numFmtId="0" fontId="2" fillId="0" borderId="0" xfId="0" applyFont="1" applyAlignment="1">
      <alignment vertical="center"/>
    </xf>
    <xf numFmtId="0" fontId="7" fillId="26" borderId="30" xfId="63" applyFont="1" applyFill="1" applyBorder="1" applyAlignment="1" applyProtection="1">
      <alignment horizontal="center" vertical="center" wrapText="1"/>
      <protection locked="0"/>
    </xf>
    <xf numFmtId="0" fontId="72" fillId="0" borderId="0" xfId="60" applyFont="1" applyBorder="1" applyAlignment="1">
      <alignment horizontal="left" vertical="center"/>
    </xf>
    <xf numFmtId="0" fontId="0" fillId="0" borderId="31" xfId="0" applyBorder="1">
      <alignment vertical="center"/>
    </xf>
    <xf numFmtId="0" fontId="41" fillId="0" borderId="31" xfId="0" applyFont="1" applyBorder="1">
      <alignment vertical="center"/>
    </xf>
    <xf numFmtId="0" fontId="41" fillId="0" borderId="31" xfId="64" applyFont="1" applyBorder="1">
      <alignment vertical="center"/>
    </xf>
    <xf numFmtId="0" fontId="5" fillId="0" borderId="31" xfId="0" applyFont="1" applyBorder="1">
      <alignment vertical="center"/>
    </xf>
    <xf numFmtId="0" fontId="5" fillId="0" borderId="31" xfId="60" applyFont="1" applyBorder="1"/>
    <xf numFmtId="0" fontId="5" fillId="0" borderId="0" xfId="60" applyFont="1" applyBorder="1"/>
    <xf numFmtId="0" fontId="41" fillId="0" borderId="24" xfId="0" applyFont="1" applyBorder="1">
      <alignment vertical="center"/>
    </xf>
    <xf numFmtId="0" fontId="5" fillId="0" borderId="24" xfId="60" applyFont="1" applyBorder="1"/>
    <xf numFmtId="49" fontId="72" fillId="0" borderId="13" xfId="60" applyNumberFormat="1" applyFont="1" applyBorder="1" applyAlignment="1">
      <alignment horizontal="left" vertical="center"/>
    </xf>
    <xf numFmtId="49" fontId="5" fillId="0" borderId="0" xfId="0" applyNumberFormat="1" applyFont="1" applyBorder="1" applyAlignment="1">
      <alignment horizontal="center" vertical="center"/>
    </xf>
    <xf numFmtId="185" fontId="143" fillId="0" borderId="0" xfId="0" applyNumberFormat="1" applyFont="1" applyAlignment="1">
      <alignment horizontal="left" vertical="center"/>
    </xf>
    <xf numFmtId="0" fontId="0" fillId="0" borderId="14" xfId="0" applyFont="1" applyBorder="1" applyAlignment="1">
      <alignment vertical="center" wrapText="1"/>
    </xf>
    <xf numFmtId="0" fontId="0" fillId="0" borderId="14" xfId="0" applyFont="1" applyBorder="1" applyAlignment="1">
      <alignment horizontal="left" vertical="center" wrapText="1"/>
    </xf>
    <xf numFmtId="0" fontId="4" fillId="0" borderId="14" xfId="0" applyFont="1" applyBorder="1" applyAlignment="1">
      <alignment horizontal="left" vertical="center" wrapText="1"/>
    </xf>
    <xf numFmtId="0" fontId="43" fillId="0" borderId="0" xfId="0" applyFont="1" applyBorder="1" applyAlignment="1">
      <alignment horizontal="center" vertical="center"/>
    </xf>
    <xf numFmtId="0" fontId="2" fillId="0" borderId="0" xfId="0" applyFont="1" applyAlignment="1">
      <alignment horizontal="center" vertical="center"/>
    </xf>
    <xf numFmtId="185" fontId="6" fillId="26" borderId="14" xfId="0" applyNumberFormat="1" applyFont="1" applyFill="1" applyBorder="1" applyAlignment="1">
      <alignment horizontal="center" vertical="center" wrapText="1"/>
    </xf>
    <xf numFmtId="185" fontId="6" fillId="26" borderId="34" xfId="0" applyNumberFormat="1" applyFont="1" applyFill="1" applyBorder="1" applyAlignment="1">
      <alignment horizontal="center" vertical="center" wrapText="1"/>
    </xf>
    <xf numFmtId="49" fontId="144" fillId="0" borderId="26" xfId="0" applyNumberFormat="1" applyFont="1" applyBorder="1" applyAlignment="1">
      <alignment horizontal="center" vertical="center" wrapText="1"/>
    </xf>
    <xf numFmtId="186" fontId="144" fillId="0" borderId="14" xfId="0" applyNumberFormat="1" applyFont="1" applyBorder="1" applyAlignment="1">
      <alignment horizontal="center" vertical="center" wrapText="1"/>
    </xf>
    <xf numFmtId="185" fontId="145" fillId="0" borderId="14" xfId="0" applyNumberFormat="1" applyFont="1" applyBorder="1" applyAlignment="1">
      <alignment horizontal="center" vertical="center" wrapText="1"/>
    </xf>
    <xf numFmtId="185" fontId="146" fillId="0" borderId="14" xfId="0" applyNumberFormat="1" applyFont="1" applyBorder="1" applyAlignment="1">
      <alignment horizontal="center" vertical="center" wrapText="1"/>
    </xf>
    <xf numFmtId="186" fontId="146" fillId="0" borderId="14" xfId="0" applyNumberFormat="1" applyFont="1" applyBorder="1" applyAlignment="1">
      <alignment horizontal="center" vertical="center" wrapText="1"/>
    </xf>
    <xf numFmtId="185" fontId="144" fillId="0" borderId="14" xfId="0" applyNumberFormat="1" applyFont="1" applyBorder="1" applyAlignment="1">
      <alignment horizontal="center" vertical="center" wrapText="1"/>
    </xf>
    <xf numFmtId="185" fontId="6" fillId="26" borderId="14" xfId="0" applyNumberFormat="1" applyFont="1" applyFill="1" applyBorder="1" applyAlignment="1">
      <alignment horizontal="center" vertical="center"/>
    </xf>
    <xf numFmtId="49" fontId="6" fillId="0" borderId="22" xfId="0" applyNumberFormat="1" applyFont="1" applyBorder="1" applyAlignment="1">
      <alignment vertical="center" wrapText="1"/>
    </xf>
    <xf numFmtId="49" fontId="144" fillId="0" borderId="26" xfId="0" applyNumberFormat="1" applyFont="1" applyBorder="1" applyAlignment="1">
      <alignment vertical="center" wrapText="1"/>
    </xf>
    <xf numFmtId="186" fontId="147" fillId="0" borderId="14" xfId="0" applyNumberFormat="1" applyFont="1" applyBorder="1" applyAlignment="1">
      <alignment horizontal="center" vertical="center" wrapText="1"/>
    </xf>
    <xf numFmtId="185" fontId="148" fillId="0" borderId="14" xfId="0" applyNumberFormat="1" applyFont="1" applyBorder="1" applyAlignment="1">
      <alignment horizontal="center" vertical="center" wrapText="1"/>
    </xf>
    <xf numFmtId="185" fontId="147" fillId="0" borderId="14" xfId="0" applyNumberFormat="1" applyFont="1" applyBorder="1" applyAlignment="1">
      <alignment horizontal="center" vertical="center" wrapText="1"/>
    </xf>
    <xf numFmtId="185" fontId="149" fillId="0" borderId="26" xfId="0" applyNumberFormat="1" applyFont="1" applyBorder="1" applyAlignment="1">
      <alignment horizontal="left" vertical="center" wrapText="1"/>
    </xf>
    <xf numFmtId="185" fontId="150" fillId="0" borderId="14" xfId="0" applyNumberFormat="1" applyFont="1" applyBorder="1" applyAlignment="1">
      <alignment horizontal="center" vertical="center" wrapText="1"/>
    </xf>
    <xf numFmtId="185" fontId="147" fillId="0" borderId="14" xfId="0" applyNumberFormat="1" applyFont="1" applyBorder="1" applyAlignment="1">
      <alignment horizontal="right" vertical="center" wrapText="1"/>
    </xf>
    <xf numFmtId="0" fontId="48" fillId="0" borderId="22" xfId="0" applyFont="1" applyBorder="1" applyAlignment="1">
      <alignment horizontal="left" vertical="center"/>
    </xf>
    <xf numFmtId="0" fontId="49" fillId="0" borderId="17" xfId="0" applyFont="1" applyBorder="1" applyAlignment="1">
      <alignment horizontal="left" vertical="center"/>
    </xf>
    <xf numFmtId="0" fontId="49" fillId="0" borderId="31" xfId="0" applyFont="1" applyBorder="1" applyAlignment="1">
      <alignment horizontal="left" vertical="center"/>
    </xf>
    <xf numFmtId="0" fontId="49" fillId="0" borderId="27" xfId="0" applyFont="1" applyBorder="1" applyAlignment="1">
      <alignment horizontal="left" vertical="center"/>
    </xf>
    <xf numFmtId="0" fontId="40" fillId="0" borderId="22" xfId="0" applyFont="1" applyBorder="1" applyAlignment="1">
      <alignment horizontal="left" vertical="center"/>
    </xf>
    <xf numFmtId="0" fontId="41" fillId="0" borderId="17" xfId="0" applyFont="1" applyBorder="1" applyAlignment="1">
      <alignment horizontal="left" vertical="center"/>
    </xf>
    <xf numFmtId="0" fontId="39" fillId="0" borderId="17" xfId="0" applyFont="1" applyBorder="1" applyAlignment="1">
      <alignment horizontal="left" vertical="center"/>
    </xf>
    <xf numFmtId="0" fontId="7" fillId="26" borderId="14" xfId="0" applyFont="1" applyFill="1" applyBorder="1" applyAlignment="1">
      <alignment horizontal="center" vertical="center"/>
    </xf>
    <xf numFmtId="0" fontId="7" fillId="26" borderId="14" xfId="0" applyFont="1" applyFill="1" applyBorder="1" applyAlignment="1">
      <alignment horizontal="center" vertical="center" wrapText="1"/>
    </xf>
    <xf numFmtId="0" fontId="7" fillId="26" borderId="14" xfId="0" applyFont="1" applyFill="1" applyBorder="1" applyAlignment="1">
      <alignment horizontal="center" vertical="center" textRotation="1"/>
    </xf>
    <xf numFmtId="0" fontId="5" fillId="0" borderId="17" xfId="0" applyFont="1" applyBorder="1" applyAlignment="1">
      <alignment horizontal="left" vertical="center"/>
    </xf>
    <xf numFmtId="0" fontId="5" fillId="0" borderId="26" xfId="0" applyFont="1" applyBorder="1" applyAlignment="1">
      <alignment horizontal="left" vertical="center"/>
    </xf>
    <xf numFmtId="0" fontId="6" fillId="26" borderId="17" xfId="0" applyFont="1" applyFill="1" applyBorder="1" applyAlignment="1">
      <alignment vertical="center" wrapText="1"/>
    </xf>
    <xf numFmtId="0" fontId="5" fillId="26" borderId="26" xfId="0" applyFont="1" applyFill="1" applyBorder="1" applyAlignment="1">
      <alignment vertical="center" wrapText="1"/>
    </xf>
    <xf numFmtId="0" fontId="7" fillId="26" borderId="34" xfId="0" applyFont="1" applyFill="1" applyBorder="1" applyAlignment="1">
      <alignment horizontal="center" vertical="center" wrapText="1"/>
    </xf>
    <xf numFmtId="0" fontId="7" fillId="26" borderId="15" xfId="0" applyFont="1" applyFill="1" applyBorder="1" applyAlignment="1">
      <alignment horizontal="center" vertical="center" wrapText="1"/>
    </xf>
    <xf numFmtId="0" fontId="7" fillId="26" borderId="16" xfId="0" applyFont="1" applyFill="1" applyBorder="1" applyAlignment="1">
      <alignment horizontal="center" vertical="center" wrapText="1"/>
    </xf>
    <xf numFmtId="0" fontId="7" fillId="26" borderId="34" xfId="0" applyFont="1" applyFill="1" applyBorder="1" applyAlignment="1">
      <alignment horizontal="center" vertical="center"/>
    </xf>
    <xf numFmtId="0" fontId="5" fillId="26" borderId="16" xfId="0" applyFont="1" applyFill="1" applyBorder="1" applyAlignment="1">
      <alignment horizontal="center" vertical="center"/>
    </xf>
    <xf numFmtId="0" fontId="7" fillId="26" borderId="22" xfId="0" applyFont="1" applyFill="1" applyBorder="1" applyAlignment="1">
      <alignment horizontal="left" vertical="center" wrapText="1"/>
    </xf>
    <xf numFmtId="0" fontId="5" fillId="26" borderId="17" xfId="0" applyFont="1" applyFill="1" applyBorder="1" applyAlignment="1">
      <alignment horizontal="left" vertical="center"/>
    </xf>
    <xf numFmtId="0" fontId="5" fillId="26" borderId="26" xfId="0" applyFont="1" applyFill="1" applyBorder="1" applyAlignment="1">
      <alignment horizontal="left" vertical="center"/>
    </xf>
    <xf numFmtId="0" fontId="7" fillId="26" borderId="16" xfId="0" applyFont="1" applyFill="1" applyBorder="1" applyAlignment="1">
      <alignment horizontal="center" vertical="center"/>
    </xf>
    <xf numFmtId="0" fontId="2" fillId="0" borderId="17" xfId="0" applyFont="1" applyBorder="1" applyAlignment="1">
      <alignment horizontal="left" vertical="center"/>
    </xf>
    <xf numFmtId="0" fontId="0" fillId="0" borderId="17" xfId="0" applyBorder="1" applyAlignment="1">
      <alignment horizontal="left" vertical="center"/>
    </xf>
    <xf numFmtId="0" fontId="0" fillId="0" borderId="26" xfId="0" applyBorder="1" applyAlignment="1">
      <alignment horizontal="left" vertical="center"/>
    </xf>
    <xf numFmtId="0" fontId="6" fillId="29" borderId="34" xfId="0" applyFont="1" applyFill="1" applyBorder="1" applyAlignment="1">
      <alignment horizontal="center" vertical="center"/>
    </xf>
    <xf numFmtId="0" fontId="0" fillId="0" borderId="16" xfId="0" applyBorder="1" applyAlignment="1">
      <alignment vertical="center"/>
    </xf>
    <xf numFmtId="0" fontId="6" fillId="29" borderId="34" xfId="0" applyFont="1" applyFill="1" applyBorder="1" applyAlignment="1">
      <alignment horizontal="center" vertical="center" wrapText="1"/>
    </xf>
    <xf numFmtId="0" fontId="6" fillId="29" borderId="16" xfId="0" applyFont="1" applyFill="1" applyBorder="1" applyAlignment="1">
      <alignment horizontal="center" vertical="center" wrapText="1"/>
    </xf>
    <xf numFmtId="0" fontId="36" fillId="0" borderId="31" xfId="61" applyFont="1" applyBorder="1" applyAlignment="1">
      <alignment horizontal="left" vertical="top" wrapText="1"/>
    </xf>
    <xf numFmtId="0" fontId="5" fillId="0" borderId="31" xfId="0" applyFont="1" applyBorder="1" applyAlignment="1">
      <alignment horizontal="left" vertical="center"/>
    </xf>
    <xf numFmtId="182" fontId="45" fillId="0" borderId="21" xfId="66" applyNumberFormat="1" applyFont="1" applyBorder="1" applyAlignment="1">
      <alignment horizontal="right"/>
    </xf>
    <xf numFmtId="182" fontId="45" fillId="0" borderId="33" xfId="66" applyNumberFormat="1" applyFont="1" applyBorder="1" applyAlignment="1">
      <alignment horizontal="right"/>
    </xf>
    <xf numFmtId="0" fontId="43" fillId="26" borderId="14" xfId="60" applyFont="1" applyFill="1" applyBorder="1" applyAlignment="1">
      <alignment horizontal="center" vertical="center" textRotation="255" wrapText="1"/>
    </xf>
    <xf numFmtId="0" fontId="5" fillId="26" borderId="14" xfId="60" applyFont="1" applyFill="1" applyBorder="1" applyAlignment="1">
      <alignment horizontal="center" vertical="center" textRotation="255" wrapText="1"/>
    </xf>
    <xf numFmtId="0" fontId="5" fillId="0" borderId="39" xfId="60" applyFont="1" applyFill="1" applyBorder="1" applyAlignment="1">
      <alignment horizontal="left" vertical="top" wrapText="1"/>
    </xf>
    <xf numFmtId="0" fontId="5" fillId="0" borderId="51" xfId="60" applyFont="1" applyFill="1" applyBorder="1" applyAlignment="1">
      <alignment horizontal="left" vertical="top" wrapText="1"/>
    </xf>
    <xf numFmtId="0" fontId="71" fillId="0" borderId="51" xfId="66" applyNumberFormat="1" applyFont="1" applyFill="1" applyBorder="1" applyAlignment="1">
      <alignment horizontal="left" vertical="top" wrapText="1"/>
    </xf>
    <xf numFmtId="182" fontId="71" fillId="0" borderId="30" xfId="66" applyNumberFormat="1" applyFont="1" applyFill="1" applyBorder="1" applyAlignment="1">
      <alignment horizontal="left" vertical="top" wrapText="1"/>
    </xf>
    <xf numFmtId="0" fontId="5" fillId="0" borderId="19" xfId="60" applyFont="1" applyFill="1" applyBorder="1" applyAlignment="1">
      <alignment horizontal="left" vertical="top" wrapText="1"/>
    </xf>
    <xf numFmtId="0" fontId="5" fillId="0" borderId="18" xfId="60" applyFont="1" applyFill="1" applyBorder="1" applyAlignment="1">
      <alignment horizontal="left" vertical="top" wrapText="1"/>
    </xf>
    <xf numFmtId="0" fontId="43" fillId="0" borderId="55" xfId="60" applyFont="1" applyBorder="1" applyAlignment="1">
      <alignment horizontal="left"/>
    </xf>
    <xf numFmtId="0" fontId="5" fillId="0" borderId="21" xfId="60" applyFont="1" applyBorder="1" applyAlignment="1">
      <alignment horizontal="left"/>
    </xf>
    <xf numFmtId="181" fontId="11" fillId="0" borderId="39" xfId="60" applyNumberFormat="1" applyFont="1" applyBorder="1" applyAlignment="1">
      <alignment horizontal="right"/>
    </xf>
    <xf numFmtId="0" fontId="11" fillId="0" borderId="51" xfId="0" applyFont="1" applyBorder="1" applyAlignment="1">
      <alignment horizontal="right"/>
    </xf>
    <xf numFmtId="181" fontId="11" fillId="0" borderId="19" xfId="60" applyNumberFormat="1" applyFont="1" applyBorder="1" applyAlignment="1">
      <alignment horizontal="right"/>
    </xf>
    <xf numFmtId="0" fontId="11" fillId="0" borderId="18" xfId="0" applyFont="1" applyBorder="1" applyAlignment="1">
      <alignment horizontal="right"/>
    </xf>
    <xf numFmtId="182" fontId="72" fillId="0" borderId="18" xfId="66" applyNumberFormat="1" applyFont="1" applyBorder="1" applyAlignment="1">
      <alignment horizontal="right" vertical="center"/>
    </xf>
    <xf numFmtId="182" fontId="72" fillId="0" borderId="32" xfId="66" applyNumberFormat="1" applyFont="1" applyBorder="1" applyAlignment="1">
      <alignment horizontal="right" vertical="center"/>
    </xf>
    <xf numFmtId="0" fontId="5" fillId="0" borderId="18" xfId="0" applyFont="1" applyBorder="1" applyAlignment="1">
      <alignment horizontal="right" vertical="center"/>
    </xf>
    <xf numFmtId="0" fontId="5" fillId="0" borderId="32" xfId="0" applyFont="1" applyBorder="1" applyAlignment="1">
      <alignment horizontal="right" vertical="center"/>
    </xf>
    <xf numFmtId="0" fontId="5" fillId="0" borderId="71" xfId="60" applyFont="1" applyFill="1" applyBorder="1" applyAlignment="1">
      <alignment horizontal="left" vertical="top" wrapText="1"/>
    </xf>
    <xf numFmtId="0" fontId="5" fillId="0" borderId="64" xfId="0" applyFont="1" applyBorder="1" applyAlignment="1">
      <alignment vertical="top" wrapText="1"/>
    </xf>
    <xf numFmtId="0" fontId="5" fillId="0" borderId="65" xfId="0" applyFont="1" applyBorder="1" applyAlignment="1">
      <alignment vertical="top" wrapText="1"/>
    </xf>
    <xf numFmtId="0" fontId="0" fillId="0" borderId="25" xfId="0" applyBorder="1" applyAlignment="1">
      <alignment vertical="top" wrapText="1"/>
    </xf>
    <xf numFmtId="0" fontId="0" fillId="0" borderId="13" xfId="0" applyBorder="1" applyAlignment="1">
      <alignment vertical="top" wrapText="1"/>
    </xf>
    <xf numFmtId="0" fontId="0" fillId="0" borderId="29" xfId="0" applyBorder="1" applyAlignment="1">
      <alignment vertical="top" wrapText="1"/>
    </xf>
    <xf numFmtId="0" fontId="43" fillId="0" borderId="19" xfId="60" applyFont="1" applyFill="1" applyBorder="1" applyAlignment="1">
      <alignment horizontal="center" vertical="top" wrapText="1"/>
    </xf>
    <xf numFmtId="0" fontId="5" fillId="0" borderId="18" xfId="60" applyFont="1" applyFill="1" applyBorder="1" applyAlignment="1">
      <alignment horizontal="center" vertical="top" wrapText="1"/>
    </xf>
    <xf numFmtId="0" fontId="43" fillId="0" borderId="55" xfId="60" applyFont="1" applyFill="1" applyBorder="1" applyAlignment="1">
      <alignment horizontal="left" vertical="top" wrapText="1"/>
    </xf>
    <xf numFmtId="0" fontId="5" fillId="0" borderId="21" xfId="60" applyFont="1" applyFill="1" applyBorder="1" applyAlignment="1">
      <alignment horizontal="left" vertical="top" wrapText="1"/>
    </xf>
    <xf numFmtId="182" fontId="71" fillId="0" borderId="21" xfId="66" applyNumberFormat="1" applyFont="1" applyFill="1" applyBorder="1" applyAlignment="1">
      <alignment horizontal="center" vertical="top" wrapText="1"/>
    </xf>
    <xf numFmtId="182" fontId="71" fillId="0" borderId="33" xfId="66" applyNumberFormat="1" applyFont="1" applyFill="1" applyBorder="1" applyAlignment="1">
      <alignment horizontal="center" vertical="top" wrapText="1"/>
    </xf>
    <xf numFmtId="182" fontId="45" fillId="0" borderId="18" xfId="66" applyNumberFormat="1" applyFont="1" applyBorder="1" applyAlignment="1">
      <alignment horizontal="right" vertical="center"/>
    </xf>
    <xf numFmtId="182" fontId="45" fillId="0" borderId="32" xfId="66" applyNumberFormat="1" applyFont="1" applyBorder="1" applyAlignment="1">
      <alignment horizontal="right" vertical="center"/>
    </xf>
    <xf numFmtId="0" fontId="11" fillId="0" borderId="55" xfId="60" applyFont="1" applyFill="1" applyBorder="1" applyAlignment="1">
      <alignment horizontal="right" vertical="top" wrapText="1"/>
    </xf>
    <xf numFmtId="0" fontId="11" fillId="0" borderId="21" xfId="0" applyFont="1" applyBorder="1" applyAlignment="1">
      <alignment horizontal="right" vertical="top" wrapText="1"/>
    </xf>
    <xf numFmtId="0" fontId="5" fillId="0" borderId="18" xfId="0" applyFont="1" applyBorder="1" applyAlignment="1">
      <alignment horizontal="right"/>
    </xf>
    <xf numFmtId="182" fontId="45" fillId="0" borderId="18" xfId="66" applyNumberFormat="1" applyFont="1" applyFill="1" applyBorder="1" applyAlignment="1">
      <alignment horizontal="center" vertical="top" wrapText="1"/>
    </xf>
    <xf numFmtId="182" fontId="45" fillId="0" borderId="32" xfId="66" applyNumberFormat="1" applyFont="1" applyFill="1" applyBorder="1" applyAlignment="1">
      <alignment horizontal="center" vertical="top" wrapText="1"/>
    </xf>
    <xf numFmtId="0" fontId="5" fillId="0" borderId="14" xfId="60" applyFont="1" applyFill="1" applyBorder="1" applyAlignment="1">
      <alignment vertical="center" wrapText="1"/>
    </xf>
    <xf numFmtId="0" fontId="5" fillId="0" borderId="14" xfId="0" applyFont="1" applyBorder="1" applyAlignment="1">
      <alignment vertical="center" wrapText="1"/>
    </xf>
    <xf numFmtId="0" fontId="43" fillId="0" borderId="19" xfId="60" applyFont="1" applyFill="1" applyBorder="1" applyAlignment="1">
      <alignment horizontal="center" vertical="center" wrapText="1"/>
    </xf>
    <xf numFmtId="0" fontId="5" fillId="0" borderId="18" xfId="60" applyFont="1" applyFill="1" applyBorder="1" applyAlignment="1">
      <alignment horizontal="center" vertical="center" wrapText="1"/>
    </xf>
    <xf numFmtId="0" fontId="5" fillId="0" borderId="19" xfId="60" applyFont="1" applyFill="1" applyBorder="1" applyAlignment="1">
      <alignment horizontal="center" vertical="center" wrapText="1"/>
    </xf>
    <xf numFmtId="0" fontId="43" fillId="0" borderId="18" xfId="60" applyFont="1" applyFill="1" applyBorder="1" applyAlignment="1">
      <alignment horizontal="center" vertical="top" wrapText="1"/>
    </xf>
    <xf numFmtId="0" fontId="43" fillId="0" borderId="19" xfId="60" applyFont="1" applyBorder="1" applyAlignment="1">
      <alignment horizontal="left" vertical="center"/>
    </xf>
    <xf numFmtId="0" fontId="5" fillId="0" borderId="18" xfId="60" applyFont="1" applyBorder="1" applyAlignment="1">
      <alignment horizontal="left" vertical="center"/>
    </xf>
    <xf numFmtId="0" fontId="5" fillId="0" borderId="19" xfId="0" applyFont="1" applyBorder="1" applyAlignment="1">
      <alignment horizontal="left" vertical="center"/>
    </xf>
    <xf numFmtId="0" fontId="5" fillId="0" borderId="18" xfId="0" applyFont="1" applyBorder="1" applyAlignment="1">
      <alignment horizontal="left" vertical="center"/>
    </xf>
    <xf numFmtId="0" fontId="73" fillId="0" borderId="18" xfId="60" applyFont="1" applyFill="1" applyBorder="1" applyAlignment="1">
      <alignment horizontal="center" vertical="center" wrapText="1"/>
    </xf>
    <xf numFmtId="0" fontId="71" fillId="0" borderId="18" xfId="60" applyFont="1" applyFill="1" applyBorder="1" applyAlignment="1">
      <alignment horizontal="center" vertical="center" wrapText="1"/>
    </xf>
    <xf numFmtId="0" fontId="71" fillId="0" borderId="32" xfId="60" applyFont="1" applyFill="1" applyBorder="1" applyAlignment="1">
      <alignment horizontal="center" vertical="center" wrapText="1"/>
    </xf>
    <xf numFmtId="9" fontId="71" fillId="0" borderId="18" xfId="60" applyNumberFormat="1" applyFont="1" applyFill="1" applyBorder="1" applyAlignment="1">
      <alignment horizontal="center" vertical="top" wrapText="1"/>
    </xf>
    <xf numFmtId="9" fontId="71" fillId="0" borderId="32" xfId="60" applyNumberFormat="1" applyFont="1" applyFill="1" applyBorder="1" applyAlignment="1">
      <alignment horizontal="center" vertical="top" wrapText="1"/>
    </xf>
    <xf numFmtId="188" fontId="71" fillId="0" borderId="18" xfId="60" applyNumberFormat="1" applyFont="1" applyFill="1" applyBorder="1" applyAlignment="1">
      <alignment horizontal="center" vertical="top" wrapText="1"/>
    </xf>
    <xf numFmtId="1" fontId="71" fillId="0" borderId="18" xfId="60" applyNumberFormat="1" applyFont="1" applyFill="1" applyBorder="1" applyAlignment="1">
      <alignment horizontal="center" vertical="top" wrapText="1"/>
    </xf>
    <xf numFmtId="1" fontId="71" fillId="0" borderId="32" xfId="60" applyNumberFormat="1" applyFont="1" applyFill="1" applyBorder="1" applyAlignment="1">
      <alignment horizontal="center" vertical="top" wrapText="1"/>
    </xf>
    <xf numFmtId="0" fontId="73" fillId="0" borderId="18" xfId="60" applyFont="1" applyFill="1" applyBorder="1" applyAlignment="1">
      <alignment horizontal="center" vertical="top" wrapText="1"/>
    </xf>
    <xf numFmtId="0" fontId="71" fillId="0" borderId="18" xfId="60" applyFont="1" applyFill="1" applyBorder="1" applyAlignment="1">
      <alignment horizontal="center" vertical="top" wrapText="1"/>
    </xf>
    <xf numFmtId="0" fontId="43" fillId="0" borderId="51" xfId="60" applyFont="1" applyFill="1" applyBorder="1" applyAlignment="1">
      <alignment horizontal="center" vertical="top" wrapText="1"/>
    </xf>
    <xf numFmtId="0" fontId="5" fillId="0" borderId="30" xfId="60" applyFont="1" applyFill="1" applyBorder="1" applyAlignment="1">
      <alignment horizontal="center" vertical="top" wrapText="1"/>
    </xf>
    <xf numFmtId="0" fontId="43" fillId="0" borderId="39" xfId="60" applyFont="1" applyFill="1" applyBorder="1" applyAlignment="1">
      <alignment horizontal="center" vertical="center"/>
    </xf>
    <xf numFmtId="0" fontId="5" fillId="0" borderId="51" xfId="60" applyFont="1" applyFill="1" applyBorder="1" applyAlignment="1">
      <alignment horizontal="center" vertical="center"/>
    </xf>
    <xf numFmtId="0" fontId="43" fillId="26" borderId="14" xfId="60" applyFont="1" applyFill="1" applyBorder="1" applyAlignment="1">
      <alignment horizontal="center" vertical="top" wrapText="1"/>
    </xf>
    <xf numFmtId="0" fontId="5" fillId="26" borderId="14" xfId="60" applyFont="1" applyFill="1" applyBorder="1" applyAlignment="1">
      <alignment horizontal="center" vertical="top" wrapText="1"/>
    </xf>
    <xf numFmtId="10" fontId="71" fillId="0" borderId="18" xfId="60" applyNumberFormat="1" applyFont="1" applyFill="1" applyBorder="1" applyAlignment="1">
      <alignment vertical="top" wrapText="1"/>
    </xf>
    <xf numFmtId="9" fontId="71" fillId="0" borderId="21" xfId="60" applyNumberFormat="1" applyFont="1" applyFill="1" applyBorder="1" applyAlignment="1">
      <alignment vertical="top" wrapText="1"/>
    </xf>
    <xf numFmtId="0" fontId="71" fillId="0" borderId="21" xfId="60" applyFont="1" applyBorder="1"/>
    <xf numFmtId="0" fontId="71" fillId="0" borderId="33" xfId="60" applyFont="1" applyBorder="1"/>
    <xf numFmtId="0" fontId="5" fillId="0" borderId="51" xfId="60" applyFont="1" applyFill="1" applyBorder="1" applyAlignment="1">
      <alignment horizontal="center" vertical="top" wrapText="1"/>
    </xf>
    <xf numFmtId="0" fontId="5" fillId="0" borderId="21" xfId="60" applyFont="1" applyBorder="1"/>
    <xf numFmtId="9" fontId="71" fillId="0" borderId="18" xfId="60" applyNumberFormat="1" applyFont="1" applyFill="1" applyBorder="1" applyAlignment="1">
      <alignment vertical="top" wrapText="1"/>
    </xf>
    <xf numFmtId="0" fontId="43" fillId="0" borderId="19" xfId="60" applyFont="1" applyBorder="1" applyAlignment="1">
      <alignment horizontal="center" vertical="center"/>
    </xf>
    <xf numFmtId="0" fontId="5" fillId="0" borderId="18" xfId="60" applyFont="1" applyBorder="1" applyAlignment="1">
      <alignment horizontal="center" vertical="center"/>
    </xf>
    <xf numFmtId="0" fontId="5" fillId="0" borderId="19" xfId="60" applyFont="1" applyBorder="1" applyAlignment="1">
      <alignment horizontal="center" vertical="center"/>
    </xf>
    <xf numFmtId="0" fontId="5" fillId="0" borderId="51" xfId="60" applyFont="1" applyFill="1" applyBorder="1"/>
    <xf numFmtId="0" fontId="5" fillId="0" borderId="30" xfId="60" applyFont="1" applyFill="1" applyBorder="1"/>
    <xf numFmtId="0" fontId="43" fillId="26" borderId="14" xfId="60" applyFont="1" applyFill="1" applyBorder="1" applyAlignment="1">
      <alignment horizontal="center" vertical="center" wrapText="1"/>
    </xf>
    <xf numFmtId="0" fontId="5" fillId="26" borderId="14" xfId="60" applyFont="1" applyFill="1" applyBorder="1" applyAlignment="1">
      <alignment horizontal="center" vertical="center" wrapText="1"/>
    </xf>
    <xf numFmtId="182" fontId="72" fillId="0" borderId="51" xfId="66" applyNumberFormat="1" applyFont="1" applyBorder="1" applyAlignment="1">
      <alignment horizontal="right"/>
    </xf>
    <xf numFmtId="182" fontId="72" fillId="0" borderId="30" xfId="66" applyNumberFormat="1" applyFont="1" applyBorder="1" applyAlignment="1">
      <alignment horizontal="right"/>
    </xf>
    <xf numFmtId="0" fontId="43" fillId="0" borderId="39" xfId="60" applyFont="1" applyBorder="1" applyAlignment="1">
      <alignment horizontal="left"/>
    </xf>
    <xf numFmtId="0" fontId="5" fillId="0" borderId="51" xfId="60" applyFont="1" applyBorder="1" applyAlignment="1">
      <alignment horizontal="left"/>
    </xf>
    <xf numFmtId="0" fontId="42" fillId="26" borderId="14" xfId="60" applyFont="1" applyFill="1" applyBorder="1" applyAlignment="1">
      <alignment horizontal="center" vertical="top" wrapText="1"/>
    </xf>
    <xf numFmtId="0" fontId="72" fillId="26" borderId="14" xfId="60" applyFont="1" applyFill="1" applyBorder="1" applyAlignment="1">
      <alignment horizontal="center" vertical="top" wrapText="1"/>
    </xf>
    <xf numFmtId="180" fontId="71" fillId="0" borderId="18" xfId="66" applyNumberFormat="1" applyFont="1" applyFill="1" applyBorder="1" applyAlignment="1">
      <alignment horizontal="right" vertical="top" wrapText="1"/>
    </xf>
    <xf numFmtId="180" fontId="71" fillId="0" borderId="32" xfId="66" applyNumberFormat="1" applyFont="1" applyFill="1" applyBorder="1" applyAlignment="1">
      <alignment horizontal="right" vertical="top" wrapText="1"/>
    </xf>
    <xf numFmtId="3" fontId="71" fillId="0" borderId="18" xfId="60" applyNumberFormat="1" applyFont="1" applyFill="1" applyBorder="1" applyAlignment="1">
      <alignment horizontal="right" vertical="top" wrapText="1"/>
    </xf>
    <xf numFmtId="3" fontId="71" fillId="0" borderId="32" xfId="60" applyNumberFormat="1" applyFont="1" applyFill="1" applyBorder="1" applyAlignment="1">
      <alignment horizontal="right" vertical="top" wrapText="1"/>
    </xf>
    <xf numFmtId="0" fontId="43" fillId="0" borderId="19" xfId="60" applyFont="1" applyFill="1" applyBorder="1" applyAlignment="1">
      <alignment horizontal="left" vertical="top" wrapText="1"/>
    </xf>
    <xf numFmtId="0" fontId="43" fillId="0" borderId="18" xfId="60" applyFont="1" applyBorder="1" applyAlignment="1">
      <alignment horizontal="center" vertical="center" wrapText="1"/>
    </xf>
    <xf numFmtId="0" fontId="5" fillId="0" borderId="18" xfId="60" applyFont="1" applyBorder="1" applyAlignment="1">
      <alignment horizontal="center" vertical="center" wrapText="1"/>
    </xf>
    <xf numFmtId="0" fontId="43" fillId="0" borderId="55" xfId="60" applyFont="1" applyFill="1" applyBorder="1" applyAlignment="1">
      <alignment horizontal="center" vertical="top" wrapText="1"/>
    </xf>
    <xf numFmtId="0" fontId="5" fillId="0" borderId="21" xfId="60" applyFont="1" applyFill="1" applyBorder="1" applyAlignment="1">
      <alignment horizontal="center" vertical="top" wrapText="1"/>
    </xf>
    <xf numFmtId="0" fontId="43" fillId="0" borderId="39" xfId="60" applyFont="1" applyFill="1" applyBorder="1" applyAlignment="1">
      <alignment horizontal="center" vertical="top" wrapText="1"/>
    </xf>
    <xf numFmtId="0" fontId="43" fillId="0" borderId="21" xfId="60" applyFont="1" applyFill="1" applyBorder="1" applyAlignment="1">
      <alignment horizontal="center" vertical="top" wrapText="1"/>
    </xf>
    <xf numFmtId="0" fontId="71" fillId="0" borderId="21" xfId="60" applyNumberFormat="1" applyFont="1" applyFill="1" applyBorder="1" applyAlignment="1">
      <alignment horizontal="right" vertical="top" wrapText="1"/>
    </xf>
    <xf numFmtId="3" fontId="71" fillId="0" borderId="33" xfId="60" applyNumberFormat="1" applyFont="1" applyFill="1" applyBorder="1" applyAlignment="1">
      <alignment horizontal="right" vertical="top" wrapText="1"/>
    </xf>
    <xf numFmtId="0" fontId="5" fillId="0" borderId="21" xfId="60" applyFont="1" applyFill="1" applyBorder="1"/>
    <xf numFmtId="0" fontId="40" fillId="0" borderId="0" xfId="60" applyFont="1" applyFill="1" applyBorder="1" applyAlignment="1">
      <alignment horizontal="center" vertical="center"/>
    </xf>
    <xf numFmtId="0" fontId="41" fillId="0" borderId="0" xfId="60" applyFont="1" applyFill="1" applyBorder="1" applyAlignment="1">
      <alignment horizontal="center" vertical="center"/>
    </xf>
    <xf numFmtId="0" fontId="5" fillId="0" borderId="18" xfId="60" applyFont="1" applyFill="1" applyBorder="1" applyAlignment="1">
      <alignment horizontal="left"/>
    </xf>
    <xf numFmtId="0" fontId="5" fillId="0" borderId="18" xfId="60" applyFont="1" applyFill="1" applyBorder="1"/>
    <xf numFmtId="0" fontId="5" fillId="26" borderId="22" xfId="60" applyFont="1" applyFill="1" applyBorder="1" applyAlignment="1">
      <alignment horizontal="center" vertical="top" wrapText="1"/>
    </xf>
    <xf numFmtId="0" fontId="5" fillId="26" borderId="17" xfId="60" applyFont="1" applyFill="1" applyBorder="1" applyAlignment="1">
      <alignment horizontal="center" vertical="top" wrapText="1"/>
    </xf>
    <xf numFmtId="0" fontId="5" fillId="26" borderId="26" xfId="60" applyFont="1" applyFill="1" applyBorder="1" applyAlignment="1">
      <alignment horizontal="center" vertical="top" wrapText="1"/>
    </xf>
    <xf numFmtId="0" fontId="43" fillId="0" borderId="39" xfId="60" applyFont="1" applyFill="1" applyBorder="1" applyAlignment="1">
      <alignment horizontal="left" vertical="top" wrapText="1"/>
    </xf>
    <xf numFmtId="0" fontId="5" fillId="0" borderId="51" xfId="0" applyFont="1" applyBorder="1" applyAlignment="1">
      <alignment vertical="top" wrapText="1"/>
    </xf>
    <xf numFmtId="180" fontId="71" fillId="0" borderId="51" xfId="66" applyNumberFormat="1" applyFont="1" applyFill="1" applyBorder="1" applyAlignment="1">
      <alignment horizontal="center" vertical="top" wrapText="1"/>
    </xf>
    <xf numFmtId="0" fontId="71" fillId="0" borderId="30" xfId="0" applyFont="1" applyBorder="1" applyAlignment="1">
      <alignment horizontal="center" vertical="top" wrapText="1"/>
    </xf>
    <xf numFmtId="180" fontId="71" fillId="0" borderId="18" xfId="60" applyNumberFormat="1" applyFont="1" applyFill="1" applyBorder="1" applyAlignment="1">
      <alignment horizontal="right" vertical="top" wrapText="1"/>
    </xf>
    <xf numFmtId="180" fontId="71" fillId="0" borderId="32" xfId="60" applyNumberFormat="1" applyFont="1" applyFill="1" applyBorder="1" applyAlignment="1">
      <alignment horizontal="right" vertical="top" wrapText="1"/>
    </xf>
    <xf numFmtId="0" fontId="48" fillId="0" borderId="13" xfId="60" applyFont="1" applyFill="1" applyBorder="1" applyAlignment="1">
      <alignment horizontal="left" vertical="center"/>
    </xf>
    <xf numFmtId="0" fontId="139" fillId="0" borderId="13" xfId="0" applyFont="1" applyBorder="1" applyAlignment="1">
      <alignment horizontal="left" vertical="center"/>
    </xf>
    <xf numFmtId="0" fontId="71" fillId="0" borderId="51" xfId="60" applyFont="1" applyFill="1" applyBorder="1" applyAlignment="1">
      <alignment horizontal="center" vertical="center"/>
    </xf>
    <xf numFmtId="0" fontId="71" fillId="0" borderId="30" xfId="60" applyFont="1" applyFill="1" applyBorder="1" applyAlignment="1">
      <alignment horizontal="center" vertical="center"/>
    </xf>
    <xf numFmtId="0" fontId="42" fillId="0" borderId="18" xfId="60" applyFont="1" applyBorder="1" applyAlignment="1">
      <alignment horizontal="center" vertical="center"/>
    </xf>
    <xf numFmtId="0" fontId="72" fillId="0" borderId="18" xfId="60" applyFont="1" applyBorder="1" applyAlignment="1">
      <alignment horizontal="center" vertical="center"/>
    </xf>
    <xf numFmtId="0" fontId="72" fillId="0" borderId="32" xfId="60" applyFont="1" applyBorder="1" applyAlignment="1">
      <alignment horizontal="center" vertical="center"/>
    </xf>
    <xf numFmtId="0" fontId="43" fillId="26" borderId="75" xfId="60" applyFont="1" applyFill="1" applyBorder="1" applyAlignment="1">
      <alignment horizontal="center" vertical="top" wrapText="1"/>
    </xf>
    <xf numFmtId="0" fontId="5" fillId="26" borderId="76" xfId="60" applyFont="1" applyFill="1" applyBorder="1" applyAlignment="1">
      <alignment horizontal="center" vertical="top" wrapText="1"/>
    </xf>
    <xf numFmtId="0" fontId="5" fillId="26" borderId="77" xfId="60" applyFont="1" applyFill="1" applyBorder="1" applyAlignment="1">
      <alignment horizontal="center" vertical="top" wrapText="1"/>
    </xf>
    <xf numFmtId="0" fontId="43" fillId="0" borderId="39" xfId="60" applyFont="1" applyBorder="1" applyAlignment="1">
      <alignment horizontal="center" vertical="center"/>
    </xf>
    <xf numFmtId="0" fontId="5" fillId="0" borderId="51" xfId="60" applyFont="1" applyBorder="1" applyAlignment="1">
      <alignment horizontal="center" vertical="center"/>
    </xf>
    <xf numFmtId="0" fontId="71" fillId="0" borderId="18" xfId="60" applyFont="1" applyBorder="1" applyAlignment="1">
      <alignment horizontal="center" vertical="center"/>
    </xf>
    <xf numFmtId="0" fontId="71" fillId="0" borderId="32" xfId="60" applyFont="1" applyBorder="1" applyAlignment="1">
      <alignment horizontal="center" vertical="center"/>
    </xf>
    <xf numFmtId="0" fontId="43" fillId="0" borderId="18" xfId="60" applyFont="1" applyBorder="1" applyAlignment="1">
      <alignment horizontal="center" vertical="center"/>
    </xf>
    <xf numFmtId="177" fontId="71" fillId="0" borderId="18" xfId="60" applyNumberFormat="1" applyFont="1" applyFill="1" applyBorder="1" applyAlignment="1">
      <alignment horizontal="right" vertical="top" wrapText="1"/>
    </xf>
    <xf numFmtId="177" fontId="71" fillId="0" borderId="32" xfId="60" applyNumberFormat="1" applyFont="1" applyFill="1" applyBorder="1" applyAlignment="1">
      <alignment horizontal="right" vertical="top" wrapText="1"/>
    </xf>
    <xf numFmtId="0" fontId="6" fillId="0" borderId="18" xfId="60" applyFont="1" applyBorder="1" applyAlignment="1">
      <alignment horizontal="center" vertical="center" wrapText="1"/>
    </xf>
    <xf numFmtId="0" fontId="7" fillId="0" borderId="18" xfId="60" applyFont="1" applyBorder="1" applyAlignment="1">
      <alignment horizontal="center" vertical="center" wrapText="1"/>
    </xf>
    <xf numFmtId="181" fontId="71" fillId="0" borderId="18" xfId="66" applyNumberFormat="1" applyFont="1" applyFill="1" applyBorder="1" applyAlignment="1">
      <alignment horizontal="right" vertical="top" wrapText="1"/>
    </xf>
    <xf numFmtId="181" fontId="71" fillId="0" borderId="32" xfId="66" applyNumberFormat="1" applyFont="1" applyFill="1" applyBorder="1" applyAlignment="1">
      <alignment horizontal="right" vertical="top" wrapText="1"/>
    </xf>
    <xf numFmtId="10" fontId="71" fillId="0" borderId="32" xfId="60" applyNumberFormat="1" applyFont="1" applyFill="1" applyBorder="1" applyAlignment="1">
      <alignment horizontal="right" vertical="center" wrapText="1"/>
    </xf>
    <xf numFmtId="0" fontId="71" fillId="0" borderId="18" xfId="60" applyFont="1" applyFill="1" applyBorder="1"/>
    <xf numFmtId="0" fontId="40" fillId="0" borderId="13" xfId="60" applyFont="1" applyFill="1" applyBorder="1" applyAlignment="1">
      <alignment horizontal="center" vertical="center"/>
    </xf>
    <xf numFmtId="0" fontId="41" fillId="0" borderId="13" xfId="60" applyFont="1" applyFill="1" applyBorder="1" applyAlignment="1">
      <alignment horizontal="center" vertical="center"/>
    </xf>
    <xf numFmtId="0" fontId="5" fillId="26" borderId="23" xfId="60" applyFont="1" applyFill="1" applyBorder="1" applyAlignment="1">
      <alignment horizontal="center" vertical="top" wrapText="1"/>
    </xf>
    <xf numFmtId="0" fontId="5" fillId="26" borderId="31" xfId="60" applyFont="1" applyFill="1" applyBorder="1" applyAlignment="1">
      <alignment horizontal="center" vertical="top" wrapText="1"/>
    </xf>
    <xf numFmtId="0" fontId="5" fillId="26" borderId="27" xfId="60" applyFont="1" applyFill="1" applyBorder="1" applyAlignment="1">
      <alignment horizontal="center" vertical="top" wrapText="1"/>
    </xf>
    <xf numFmtId="180" fontId="45" fillId="0" borderId="52" xfId="66" applyNumberFormat="1" applyFont="1" applyFill="1" applyBorder="1" applyAlignment="1">
      <alignment horizontal="right" vertical="top" wrapText="1"/>
    </xf>
    <xf numFmtId="180" fontId="45" fillId="0" borderId="73" xfId="66" applyNumberFormat="1" applyFont="1" applyFill="1" applyBorder="1" applyAlignment="1">
      <alignment horizontal="right" vertical="top" wrapText="1"/>
    </xf>
    <xf numFmtId="0" fontId="43" fillId="26" borderId="23" xfId="60" applyFont="1" applyFill="1" applyBorder="1" applyAlignment="1">
      <alignment horizontal="center" vertical="center" textRotation="255" wrapText="1"/>
    </xf>
    <xf numFmtId="0" fontId="5" fillId="26" borderId="24" xfId="60" applyFont="1" applyFill="1" applyBorder="1" applyAlignment="1">
      <alignment horizontal="center" vertical="center" textRotation="255" wrapText="1"/>
    </xf>
    <xf numFmtId="0" fontId="5" fillId="26" borderId="25" xfId="60" applyFont="1" applyFill="1" applyBorder="1" applyAlignment="1">
      <alignment horizontal="center" vertical="center" textRotation="255" wrapText="1"/>
    </xf>
    <xf numFmtId="181" fontId="11" fillId="0" borderId="18" xfId="60" applyNumberFormat="1" applyFont="1" applyBorder="1" applyAlignment="1">
      <alignment horizontal="right"/>
    </xf>
    <xf numFmtId="0" fontId="0" fillId="0" borderId="64" xfId="0" applyBorder="1" applyAlignment="1">
      <alignment vertical="top" wrapText="1"/>
    </xf>
    <xf numFmtId="0" fontId="0" fillId="0" borderId="65" xfId="0" applyBorder="1" applyAlignment="1">
      <alignment vertical="top" wrapText="1"/>
    </xf>
    <xf numFmtId="182" fontId="45" fillId="0" borderId="20" xfId="66" applyNumberFormat="1" applyFont="1" applyFill="1" applyBorder="1" applyAlignment="1">
      <alignment horizontal="center" vertical="top" wrapText="1"/>
    </xf>
    <xf numFmtId="0" fontId="5" fillId="0" borderId="21" xfId="60" applyFont="1" applyBorder="1" applyAlignment="1">
      <alignment horizontal="right"/>
    </xf>
    <xf numFmtId="181" fontId="42" fillId="0" borderId="51" xfId="60" applyNumberFormat="1" applyFont="1" applyBorder="1" applyAlignment="1">
      <alignment horizontal="left"/>
    </xf>
    <xf numFmtId="0" fontId="72" fillId="0" borderId="51" xfId="0" applyFont="1" applyBorder="1" applyAlignment="1">
      <alignment horizontal="left"/>
    </xf>
    <xf numFmtId="0" fontId="5" fillId="0" borderId="39" xfId="60" applyFont="1" applyFill="1" applyBorder="1" applyAlignment="1">
      <alignment vertical="center" wrapText="1"/>
    </xf>
    <xf numFmtId="0" fontId="5" fillId="0" borderId="19" xfId="0" applyFont="1" applyBorder="1" applyAlignment="1">
      <alignment vertical="center" wrapText="1"/>
    </xf>
    <xf numFmtId="0" fontId="5" fillId="0" borderId="55" xfId="0" applyFont="1" applyBorder="1" applyAlignment="1">
      <alignment vertical="center"/>
    </xf>
    <xf numFmtId="182" fontId="45" fillId="0" borderId="21" xfId="66" applyNumberFormat="1" applyFont="1" applyBorder="1" applyAlignment="1">
      <alignment horizontal="right" vertical="center"/>
    </xf>
    <xf numFmtId="182" fontId="45" fillId="0" borderId="33" xfId="66" applyNumberFormat="1" applyFont="1" applyBorder="1" applyAlignment="1">
      <alignment horizontal="right" vertical="center"/>
    </xf>
    <xf numFmtId="0" fontId="43" fillId="0" borderId="81" xfId="60" applyFont="1" applyFill="1" applyBorder="1" applyAlignment="1">
      <alignment horizontal="left" vertical="top" wrapText="1"/>
    </xf>
    <xf numFmtId="0" fontId="5" fillId="0" borderId="70" xfId="60" applyFont="1" applyFill="1" applyBorder="1" applyAlignment="1">
      <alignment horizontal="left" vertical="top" wrapText="1"/>
    </xf>
    <xf numFmtId="0" fontId="5" fillId="0" borderId="66" xfId="60" applyFont="1" applyFill="1" applyBorder="1" applyAlignment="1">
      <alignment horizontal="left" vertical="top" wrapText="1"/>
    </xf>
    <xf numFmtId="182" fontId="45" fillId="0" borderId="21" xfId="66" applyNumberFormat="1" applyFont="1" applyFill="1" applyBorder="1" applyAlignment="1">
      <alignment horizontal="center" vertical="top" wrapText="1"/>
    </xf>
    <xf numFmtId="182" fontId="45" fillId="0" borderId="33" xfId="66" applyNumberFormat="1" applyFont="1" applyFill="1" applyBorder="1" applyAlignment="1">
      <alignment horizontal="center" vertical="top" wrapText="1"/>
    </xf>
    <xf numFmtId="1" fontId="72" fillId="0" borderId="20" xfId="60" applyNumberFormat="1" applyFont="1" applyFill="1" applyBorder="1" applyAlignment="1">
      <alignment horizontal="center" vertical="top" wrapText="1"/>
    </xf>
    <xf numFmtId="1" fontId="72" fillId="0" borderId="69" xfId="60" applyNumberFormat="1" applyFont="1" applyFill="1" applyBorder="1" applyAlignment="1">
      <alignment horizontal="center" vertical="top" wrapText="1"/>
    </xf>
    <xf numFmtId="9" fontId="72" fillId="0" borderId="18" xfId="60" applyNumberFormat="1" applyFont="1" applyFill="1" applyBorder="1" applyAlignment="1">
      <alignment horizontal="center" vertical="top" wrapText="1"/>
    </xf>
    <xf numFmtId="9" fontId="72" fillId="0" borderId="32" xfId="60" applyNumberFormat="1" applyFont="1" applyFill="1" applyBorder="1" applyAlignment="1">
      <alignment horizontal="center" vertical="top" wrapText="1"/>
    </xf>
    <xf numFmtId="0" fontId="42" fillId="0" borderId="18" xfId="60" applyFont="1" applyFill="1" applyBorder="1" applyAlignment="1">
      <alignment horizontal="center" vertical="top" wrapText="1"/>
    </xf>
    <xf numFmtId="0" fontId="72" fillId="0" borderId="18" xfId="60" applyFont="1" applyFill="1" applyBorder="1" applyAlignment="1">
      <alignment horizontal="center" vertical="top" wrapText="1"/>
    </xf>
    <xf numFmtId="0" fontId="43" fillId="0" borderId="18" xfId="60" applyFont="1" applyFill="1" applyBorder="1" applyAlignment="1">
      <alignment horizontal="center" vertical="center" wrapText="1"/>
    </xf>
    <xf numFmtId="0" fontId="5" fillId="0" borderId="32" xfId="60" applyFont="1" applyFill="1" applyBorder="1" applyAlignment="1">
      <alignment horizontal="center" vertical="center" wrapText="1"/>
    </xf>
    <xf numFmtId="0" fontId="43" fillId="0" borderId="19" xfId="60" applyFont="1" applyBorder="1" applyAlignment="1">
      <alignment horizontal="left"/>
    </xf>
    <xf numFmtId="0" fontId="5" fillId="0" borderId="18" xfId="60" applyFont="1" applyBorder="1" applyAlignment="1">
      <alignment horizontal="left"/>
    </xf>
    <xf numFmtId="188" fontId="72" fillId="0" borderId="20" xfId="60" applyNumberFormat="1" applyFont="1" applyFill="1" applyBorder="1" applyAlignment="1">
      <alignment horizontal="center" vertical="top" wrapText="1"/>
    </xf>
    <xf numFmtId="188" fontId="72" fillId="0" borderId="50" xfId="60" applyNumberFormat="1" applyFont="1" applyFill="1" applyBorder="1" applyAlignment="1">
      <alignment horizontal="center" vertical="top" wrapText="1"/>
    </xf>
    <xf numFmtId="188" fontId="45" fillId="0" borderId="20" xfId="60" applyNumberFormat="1" applyFont="1" applyFill="1" applyBorder="1" applyAlignment="1">
      <alignment horizontal="center" vertical="top" wrapText="1"/>
    </xf>
    <xf numFmtId="188" fontId="45" fillId="0" borderId="50" xfId="60" applyNumberFormat="1" applyFont="1" applyFill="1" applyBorder="1" applyAlignment="1">
      <alignment horizontal="center" vertical="top" wrapText="1"/>
    </xf>
    <xf numFmtId="0" fontId="42" fillId="26" borderId="75" xfId="60" applyFont="1" applyFill="1" applyBorder="1" applyAlignment="1">
      <alignment horizontal="center" vertical="top" wrapText="1"/>
    </xf>
    <xf numFmtId="0" fontId="72" fillId="26" borderId="76" xfId="60" applyFont="1" applyFill="1" applyBorder="1" applyAlignment="1">
      <alignment horizontal="center" vertical="top" wrapText="1"/>
    </xf>
    <xf numFmtId="0" fontId="72" fillId="26" borderId="77" xfId="60" applyFont="1" applyFill="1" applyBorder="1" applyAlignment="1">
      <alignment horizontal="center" vertical="top" wrapText="1"/>
    </xf>
    <xf numFmtId="180" fontId="45" fillId="0" borderId="18" xfId="66" applyNumberFormat="1" applyFont="1" applyFill="1" applyBorder="1" applyAlignment="1">
      <alignment horizontal="right" vertical="top" wrapText="1"/>
    </xf>
    <xf numFmtId="180" fontId="45" fillId="0" borderId="32" xfId="66" applyNumberFormat="1" applyFont="1" applyFill="1" applyBorder="1" applyAlignment="1">
      <alignment horizontal="right" vertical="top" wrapText="1"/>
    </xf>
    <xf numFmtId="3" fontId="45" fillId="0" borderId="18" xfId="60" applyNumberFormat="1" applyFont="1" applyFill="1" applyBorder="1" applyAlignment="1">
      <alignment horizontal="right" vertical="top" wrapText="1"/>
    </xf>
    <xf numFmtId="3" fontId="45" fillId="0" borderId="32" xfId="60" applyNumberFormat="1" applyFont="1" applyFill="1" applyBorder="1" applyAlignment="1">
      <alignment horizontal="right" vertical="top" wrapText="1"/>
    </xf>
    <xf numFmtId="10" fontId="45" fillId="0" borderId="20" xfId="60" applyNumberFormat="1" applyFont="1" applyFill="1" applyBorder="1" applyAlignment="1">
      <alignment vertical="top" wrapText="1"/>
    </xf>
    <xf numFmtId="10" fontId="45" fillId="0" borderId="50" xfId="60" applyNumberFormat="1" applyFont="1" applyFill="1" applyBorder="1" applyAlignment="1">
      <alignment vertical="top" wrapText="1"/>
    </xf>
    <xf numFmtId="9" fontId="72" fillId="0" borderId="20" xfId="60" applyNumberFormat="1" applyFont="1" applyFill="1" applyBorder="1" applyAlignment="1">
      <alignment vertical="top" wrapText="1"/>
    </xf>
    <xf numFmtId="0" fontId="5" fillId="0" borderId="68" xfId="60" applyFont="1" applyBorder="1"/>
    <xf numFmtId="0" fontId="5" fillId="0" borderId="69" xfId="60" applyFont="1" applyBorder="1"/>
    <xf numFmtId="3" fontId="45" fillId="0" borderId="21" xfId="60" applyNumberFormat="1" applyFont="1" applyFill="1" applyBorder="1" applyAlignment="1">
      <alignment horizontal="right" vertical="top" wrapText="1"/>
    </xf>
    <xf numFmtId="3" fontId="45" fillId="0" borderId="33" xfId="60" applyNumberFormat="1" applyFont="1" applyFill="1" applyBorder="1" applyAlignment="1">
      <alignment horizontal="right" vertical="top" wrapText="1"/>
    </xf>
    <xf numFmtId="182" fontId="72" fillId="0" borderId="51" xfId="66" applyNumberFormat="1" applyFont="1" applyBorder="1" applyAlignment="1">
      <alignment horizontal="right" vertical="center"/>
    </xf>
    <xf numFmtId="182" fontId="72" fillId="0" borderId="30" xfId="66" applyNumberFormat="1" applyFont="1" applyBorder="1" applyAlignment="1">
      <alignment horizontal="right" vertical="center"/>
    </xf>
    <xf numFmtId="9" fontId="72" fillId="0" borderId="50" xfId="60" applyNumberFormat="1" applyFont="1" applyFill="1" applyBorder="1" applyAlignment="1">
      <alignment vertical="top" wrapText="1"/>
    </xf>
    <xf numFmtId="10" fontId="45" fillId="0" borderId="79" xfId="60" applyNumberFormat="1" applyFont="1" applyFill="1" applyBorder="1" applyAlignment="1">
      <alignment horizontal="right" vertical="center" wrapText="1"/>
    </xf>
    <xf numFmtId="10" fontId="45" fillId="0" borderId="80" xfId="60" applyNumberFormat="1" applyFont="1" applyFill="1" applyBorder="1" applyAlignment="1">
      <alignment horizontal="right" vertical="center" wrapText="1"/>
    </xf>
    <xf numFmtId="10" fontId="45" fillId="0" borderId="62" xfId="60" applyNumberFormat="1" applyFont="1" applyFill="1" applyBorder="1" applyAlignment="1">
      <alignment horizontal="right" vertical="center" wrapText="1"/>
    </xf>
    <xf numFmtId="181" fontId="45" fillId="0" borderId="18" xfId="66" applyNumberFormat="1" applyFont="1" applyFill="1" applyBorder="1" applyAlignment="1">
      <alignment horizontal="right" vertical="top" wrapText="1"/>
    </xf>
    <xf numFmtId="181" fontId="45" fillId="0" borderId="32" xfId="66" applyNumberFormat="1" applyFont="1" applyFill="1" applyBorder="1" applyAlignment="1">
      <alignment horizontal="right" vertical="top" wrapText="1"/>
    </xf>
    <xf numFmtId="0" fontId="43" fillId="0" borderId="52" xfId="60" applyFont="1" applyFill="1" applyBorder="1" applyAlignment="1">
      <alignment horizontal="center" vertical="top" wrapText="1"/>
    </xf>
    <xf numFmtId="0" fontId="5" fillId="0" borderId="73" xfId="60" applyFont="1" applyFill="1" applyBorder="1"/>
    <xf numFmtId="0" fontId="5" fillId="0" borderId="74" xfId="60" applyFont="1" applyFill="1" applyBorder="1"/>
    <xf numFmtId="180" fontId="72" fillId="0" borderId="18" xfId="66" applyNumberFormat="1" applyFont="1" applyFill="1" applyBorder="1" applyAlignment="1">
      <alignment horizontal="right" vertical="top" wrapText="1"/>
    </xf>
    <xf numFmtId="180" fontId="72" fillId="0" borderId="32" xfId="66" applyNumberFormat="1" applyFont="1" applyFill="1" applyBorder="1" applyAlignment="1">
      <alignment horizontal="right" vertical="top" wrapText="1"/>
    </xf>
    <xf numFmtId="177" fontId="45" fillId="0" borderId="18" xfId="60" applyNumberFormat="1" applyFont="1" applyFill="1" applyBorder="1" applyAlignment="1">
      <alignment horizontal="right" vertical="top" wrapText="1"/>
    </xf>
    <xf numFmtId="177" fontId="45" fillId="0" borderId="32" xfId="60" applyNumberFormat="1" applyFont="1" applyFill="1" applyBorder="1" applyAlignment="1">
      <alignment horizontal="right" vertical="top" wrapText="1"/>
    </xf>
    <xf numFmtId="180" fontId="45" fillId="0" borderId="18" xfId="60" applyNumberFormat="1" applyFont="1" applyFill="1" applyBorder="1" applyAlignment="1">
      <alignment horizontal="right" vertical="top" wrapText="1"/>
    </xf>
    <xf numFmtId="180" fontId="45" fillId="0" borderId="32" xfId="60" applyNumberFormat="1" applyFont="1" applyFill="1" applyBorder="1" applyAlignment="1">
      <alignment horizontal="right" vertical="top" wrapText="1"/>
    </xf>
    <xf numFmtId="180" fontId="72" fillId="0" borderId="51" xfId="66" applyNumberFormat="1" applyFont="1" applyFill="1" applyBorder="1" applyAlignment="1">
      <alignment horizontal="center" vertical="top" wrapText="1"/>
    </xf>
    <xf numFmtId="0" fontId="5" fillId="0" borderId="30" xfId="0" applyFont="1" applyBorder="1" applyAlignment="1">
      <alignment horizontal="center" vertical="top" wrapText="1"/>
    </xf>
    <xf numFmtId="0" fontId="5" fillId="0" borderId="61" xfId="60" applyFont="1" applyFill="1" applyBorder="1" applyAlignment="1">
      <alignment horizontal="center" vertical="top" wrapText="1"/>
    </xf>
    <xf numFmtId="0" fontId="43" fillId="26" borderId="34" xfId="60" applyFont="1" applyFill="1" applyBorder="1" applyAlignment="1">
      <alignment horizontal="center" vertical="center" wrapText="1"/>
    </xf>
    <xf numFmtId="0" fontId="5" fillId="26" borderId="15" xfId="60" applyFont="1" applyFill="1" applyBorder="1" applyAlignment="1">
      <alignment horizontal="center" vertical="center" wrapText="1"/>
    </xf>
    <xf numFmtId="0" fontId="5" fillId="26" borderId="16" xfId="60" applyFont="1" applyFill="1" applyBorder="1" applyAlignment="1">
      <alignment horizontal="center" vertical="center" wrapText="1"/>
    </xf>
    <xf numFmtId="0" fontId="43" fillId="0" borderId="78" xfId="60" applyFont="1" applyFill="1" applyBorder="1" applyAlignment="1">
      <alignment horizontal="center" vertical="top" wrapText="1"/>
    </xf>
    <xf numFmtId="0" fontId="5" fillId="0" borderId="50" xfId="60" applyFont="1" applyFill="1" applyBorder="1" applyAlignment="1">
      <alignment horizontal="center" vertical="top" wrapText="1"/>
    </xf>
    <xf numFmtId="0" fontId="43" fillId="0" borderId="61" xfId="60" applyFont="1" applyFill="1" applyBorder="1" applyAlignment="1">
      <alignment horizontal="center" vertical="top" wrapText="1"/>
    </xf>
    <xf numFmtId="0" fontId="5" fillId="0" borderId="50" xfId="60" applyFont="1" applyFill="1" applyBorder="1"/>
    <xf numFmtId="0" fontId="43" fillId="0" borderId="78" xfId="60" applyFont="1" applyFill="1" applyBorder="1" applyAlignment="1">
      <alignment horizontal="left" vertical="top" wrapText="1"/>
    </xf>
    <xf numFmtId="0" fontId="5" fillId="0" borderId="50" xfId="60" applyFont="1" applyBorder="1"/>
    <xf numFmtId="0" fontId="42" fillId="0" borderId="20" xfId="60" applyFont="1" applyBorder="1" applyAlignment="1">
      <alignment horizontal="center" vertical="center"/>
    </xf>
    <xf numFmtId="0" fontId="42" fillId="0" borderId="69" xfId="60" applyFont="1" applyBorder="1" applyAlignment="1">
      <alignment horizontal="center" vertical="center"/>
    </xf>
    <xf numFmtId="0" fontId="42" fillId="0" borderId="51" xfId="60" applyFont="1" applyFill="1" applyBorder="1" applyAlignment="1">
      <alignment horizontal="center" vertical="center"/>
    </xf>
    <xf numFmtId="0" fontId="72" fillId="0" borderId="51" xfId="60" applyFont="1" applyFill="1" applyBorder="1" applyAlignment="1">
      <alignment horizontal="center" vertical="center"/>
    </xf>
    <xf numFmtId="0" fontId="72" fillId="0" borderId="30" xfId="60" applyFont="1" applyFill="1" applyBorder="1" applyAlignment="1">
      <alignment horizontal="center" vertical="center"/>
    </xf>
    <xf numFmtId="0" fontId="43" fillId="0" borderId="78" xfId="60" applyFont="1" applyBorder="1" applyAlignment="1">
      <alignment horizontal="center" vertical="center"/>
    </xf>
    <xf numFmtId="0" fontId="5" fillId="0" borderId="68" xfId="60" applyFont="1" applyBorder="1" applyAlignment="1">
      <alignment horizontal="center" vertical="center"/>
    </xf>
    <xf numFmtId="0" fontId="5" fillId="0" borderId="50" xfId="60" applyFont="1" applyBorder="1" applyAlignment="1">
      <alignment horizontal="center" vertical="center"/>
    </xf>
    <xf numFmtId="0" fontId="43" fillId="0" borderId="20" xfId="60" applyFont="1" applyBorder="1" applyAlignment="1">
      <alignment horizontal="center" vertical="center"/>
    </xf>
    <xf numFmtId="1" fontId="72" fillId="0" borderId="18" xfId="60" applyNumberFormat="1" applyFont="1" applyFill="1" applyBorder="1" applyAlignment="1">
      <alignment horizontal="center" vertical="top" wrapText="1"/>
    </xf>
    <xf numFmtId="1" fontId="72" fillId="0" borderId="32" xfId="60" applyNumberFormat="1" applyFont="1" applyFill="1" applyBorder="1" applyAlignment="1">
      <alignment horizontal="center" vertical="top" wrapText="1"/>
    </xf>
    <xf numFmtId="182" fontId="45" fillId="0" borderId="18" xfId="66" applyNumberFormat="1" applyFont="1" applyBorder="1" applyAlignment="1">
      <alignment horizontal="right"/>
    </xf>
    <xf numFmtId="182" fontId="45" fillId="0" borderId="32" xfId="66" applyNumberFormat="1" applyFont="1" applyBorder="1" applyAlignment="1">
      <alignment horizontal="right"/>
    </xf>
    <xf numFmtId="188" fontId="45" fillId="0" borderId="18" xfId="60" applyNumberFormat="1" applyFont="1" applyFill="1" applyBorder="1" applyAlignment="1">
      <alignment horizontal="center" vertical="top" wrapText="1"/>
    </xf>
    <xf numFmtId="9" fontId="72" fillId="0" borderId="18" xfId="60" applyNumberFormat="1" applyFont="1" applyFill="1" applyBorder="1" applyAlignment="1">
      <alignment vertical="top" wrapText="1"/>
    </xf>
    <xf numFmtId="10" fontId="45" fillId="0" borderId="18" xfId="60" applyNumberFormat="1" applyFont="1" applyFill="1" applyBorder="1" applyAlignment="1">
      <alignment vertical="top" wrapText="1"/>
    </xf>
    <xf numFmtId="10" fontId="45" fillId="0" borderId="32" xfId="60" applyNumberFormat="1" applyFont="1" applyFill="1" applyBorder="1" applyAlignment="1">
      <alignment horizontal="right" vertical="center" wrapText="1"/>
    </xf>
    <xf numFmtId="9" fontId="72" fillId="0" borderId="21" xfId="60" applyNumberFormat="1" applyFont="1" applyFill="1" applyBorder="1" applyAlignment="1">
      <alignment vertical="top" wrapText="1"/>
    </xf>
    <xf numFmtId="0" fontId="5" fillId="0" borderId="33" xfId="60" applyFont="1" applyBorder="1"/>
    <xf numFmtId="188" fontId="72" fillId="0" borderId="18" xfId="60" applyNumberFormat="1" applyFont="1" applyFill="1" applyBorder="1" applyAlignment="1">
      <alignment horizontal="center" vertical="top" wrapText="1"/>
    </xf>
    <xf numFmtId="0" fontId="42" fillId="0" borderId="32" xfId="60" applyFont="1" applyBorder="1" applyAlignment="1">
      <alignment horizontal="center" vertical="center"/>
    </xf>
    <xf numFmtId="0" fontId="42" fillId="0" borderId="30" xfId="60" applyFont="1" applyFill="1" applyBorder="1" applyAlignment="1">
      <alignment horizontal="center" vertical="center"/>
    </xf>
    <xf numFmtId="182" fontId="45" fillId="0" borderId="51" xfId="66" applyNumberFormat="1" applyFont="1" applyFill="1" applyBorder="1" applyAlignment="1">
      <alignment horizontal="left" vertical="top" wrapText="1"/>
    </xf>
    <xf numFmtId="182" fontId="45" fillId="0" borderId="30" xfId="66" applyNumberFormat="1" applyFont="1" applyFill="1" applyBorder="1" applyAlignment="1">
      <alignment horizontal="left" vertical="top" wrapText="1"/>
    </xf>
    <xf numFmtId="182" fontId="72" fillId="0" borderId="18" xfId="66" applyNumberFormat="1" applyFont="1" applyBorder="1" applyAlignment="1">
      <alignment horizontal="right"/>
    </xf>
    <xf numFmtId="182" fontId="72" fillId="0" borderId="32" xfId="66" applyNumberFormat="1" applyFont="1" applyBorder="1" applyAlignment="1">
      <alignment horizontal="right"/>
    </xf>
    <xf numFmtId="181" fontId="11" fillId="0" borderId="19" xfId="60" applyNumberFormat="1" applyFont="1" applyBorder="1" applyAlignment="1">
      <alignment horizontal="right" vertical="center"/>
    </xf>
    <xf numFmtId="0" fontId="11" fillId="0" borderId="18" xfId="0" applyFont="1" applyBorder="1" applyAlignment="1">
      <alignment horizontal="right" vertical="center"/>
    </xf>
    <xf numFmtId="181" fontId="42" fillId="0" borderId="39" xfId="60" applyNumberFormat="1" applyFont="1" applyBorder="1" applyAlignment="1">
      <alignment horizontal="left" vertical="center"/>
    </xf>
    <xf numFmtId="0" fontId="72" fillId="0" borderId="51" xfId="0" applyFont="1" applyBorder="1" applyAlignment="1">
      <alignment horizontal="left" vertical="center"/>
    </xf>
    <xf numFmtId="0" fontId="11" fillId="0" borderId="55" xfId="60" applyFont="1" applyFill="1" applyBorder="1" applyAlignment="1">
      <alignment horizontal="right" vertical="center" wrapText="1"/>
    </xf>
    <xf numFmtId="0" fontId="11" fillId="0" borderId="21" xfId="0" applyFont="1" applyBorder="1" applyAlignment="1">
      <alignment horizontal="right" vertical="center" wrapText="1"/>
    </xf>
    <xf numFmtId="0" fontId="120" fillId="0" borderId="18" xfId="60" applyFont="1" applyBorder="1" applyAlignment="1">
      <alignment horizontal="right" vertical="center"/>
    </xf>
    <xf numFmtId="0" fontId="120" fillId="0" borderId="32" xfId="60" applyFont="1" applyBorder="1" applyAlignment="1">
      <alignment horizontal="right" vertical="center"/>
    </xf>
    <xf numFmtId="0" fontId="4" fillId="0" borderId="18" xfId="60" applyFont="1" applyBorder="1" applyAlignment="1">
      <alignment horizontal="left" vertical="center"/>
    </xf>
    <xf numFmtId="0" fontId="119" fillId="0" borderId="18" xfId="60" applyFont="1" applyBorder="1" applyAlignment="1">
      <alignment horizontal="left" vertical="center"/>
    </xf>
    <xf numFmtId="0" fontId="122" fillId="0" borderId="18" xfId="60" applyFont="1" applyBorder="1" applyAlignment="1">
      <alignment horizontal="left" vertical="center"/>
    </xf>
    <xf numFmtId="0" fontId="124" fillId="0" borderId="18" xfId="60" applyFont="1" applyBorder="1" applyAlignment="1">
      <alignment horizontal="left" vertical="center"/>
    </xf>
    <xf numFmtId="10" fontId="125" fillId="0" borderId="18" xfId="74" applyNumberFormat="1" applyFont="1" applyBorder="1" applyAlignment="1">
      <alignment horizontal="right" vertical="center"/>
    </xf>
    <xf numFmtId="10" fontId="125" fillId="0" borderId="32" xfId="74" applyNumberFormat="1" applyFont="1" applyBorder="1" applyAlignment="1">
      <alignment horizontal="right" vertical="center"/>
    </xf>
    <xf numFmtId="49" fontId="72" fillId="0" borderId="13" xfId="60" applyNumberFormat="1" applyFont="1" applyBorder="1" applyAlignment="1">
      <alignment horizontal="left" vertical="center"/>
    </xf>
    <xf numFmtId="0" fontId="4" fillId="0" borderId="19" xfId="60" applyFont="1" applyBorder="1" applyAlignment="1">
      <alignment horizontal="left" vertical="center"/>
    </xf>
    <xf numFmtId="0" fontId="119" fillId="0" borderId="18" xfId="60" applyFont="1" applyBorder="1" applyAlignment="1">
      <alignment vertical="center"/>
    </xf>
    <xf numFmtId="3" fontId="120" fillId="0" borderId="18" xfId="60" applyNumberFormat="1" applyFont="1" applyFill="1" applyBorder="1" applyAlignment="1">
      <alignment horizontal="right" vertical="center"/>
    </xf>
    <xf numFmtId="3" fontId="120" fillId="0" borderId="32" xfId="60" applyNumberFormat="1" applyFont="1" applyFill="1" applyBorder="1" applyAlignment="1">
      <alignment horizontal="right" vertical="center"/>
    </xf>
    <xf numFmtId="3" fontId="125" fillId="0" borderId="51" xfId="60" applyNumberFormat="1" applyFont="1" applyBorder="1" applyAlignment="1">
      <alignment horizontal="center" vertical="center"/>
    </xf>
    <xf numFmtId="0" fontId="119" fillId="0" borderId="51" xfId="0" applyFont="1" applyBorder="1" applyAlignment="1">
      <alignment vertical="center"/>
    </xf>
    <xf numFmtId="0" fontId="43" fillId="0" borderId="13" xfId="60" applyFont="1" applyBorder="1" applyAlignment="1">
      <alignment horizontal="right" vertical="center"/>
    </xf>
    <xf numFmtId="0" fontId="5" fillId="0" borderId="13" xfId="60" applyFont="1" applyBorder="1" applyAlignment="1">
      <alignment horizontal="right" vertical="center"/>
    </xf>
    <xf numFmtId="0" fontId="2" fillId="0" borderId="13" xfId="0" applyFont="1" applyBorder="1" applyAlignment="1">
      <alignment vertical="center"/>
    </xf>
    <xf numFmtId="0" fontId="120" fillId="0" borderId="0" xfId="60" applyFont="1" applyBorder="1" applyAlignment="1">
      <alignment horizontal="left" vertical="center"/>
    </xf>
    <xf numFmtId="0" fontId="120" fillId="0" borderId="13" xfId="60" applyFont="1" applyBorder="1" applyAlignment="1">
      <alignment horizontal="left" vertical="center"/>
    </xf>
    <xf numFmtId="0" fontId="4" fillId="0" borderId="13" xfId="60" applyFont="1" applyBorder="1" applyAlignment="1">
      <alignment horizontal="right" vertical="center"/>
    </xf>
    <xf numFmtId="0" fontId="4" fillId="0" borderId="13" xfId="0" applyFont="1" applyBorder="1" applyAlignment="1">
      <alignment horizontal="right" vertical="center"/>
    </xf>
    <xf numFmtId="0" fontId="4" fillId="0" borderId="0" xfId="0" applyFont="1" applyBorder="1" applyAlignment="1">
      <alignment horizontal="right" vertical="center"/>
    </xf>
    <xf numFmtId="0" fontId="121" fillId="0" borderId="13" xfId="60" applyFont="1" applyBorder="1" applyAlignment="1">
      <alignment horizontal="left" vertical="center"/>
    </xf>
    <xf numFmtId="0" fontId="121" fillId="0" borderId="13" xfId="60" applyFont="1" applyBorder="1" applyAlignment="1">
      <alignment vertical="center"/>
    </xf>
    <xf numFmtId="0" fontId="119" fillId="0" borderId="13" xfId="60" applyFont="1" applyBorder="1" applyAlignment="1">
      <alignment horizontal="right" vertical="center"/>
    </xf>
    <xf numFmtId="0" fontId="122" fillId="0" borderId="51" xfId="60" applyFont="1" applyBorder="1" applyAlignment="1">
      <alignment horizontal="center" vertical="center" wrapText="1"/>
    </xf>
    <xf numFmtId="0" fontId="124" fillId="0" borderId="51" xfId="0" applyFont="1" applyBorder="1" applyAlignment="1">
      <alignment horizontal="center" vertical="center"/>
    </xf>
    <xf numFmtId="0" fontId="0" fillId="0" borderId="17" xfId="0" applyBorder="1" applyAlignment="1">
      <alignment horizontal="center" vertical="center"/>
    </xf>
    <xf numFmtId="0" fontId="0" fillId="0" borderId="17" xfId="0" applyBorder="1" applyAlignment="1">
      <alignment vertical="center"/>
    </xf>
    <xf numFmtId="0" fontId="0" fillId="0" borderId="26" xfId="0" applyBorder="1" applyAlignment="1">
      <alignment vertical="center"/>
    </xf>
    <xf numFmtId="3" fontId="125" fillId="0" borderId="51" xfId="0" applyNumberFormat="1" applyFont="1" applyBorder="1" applyAlignment="1">
      <alignment horizontal="center" vertical="center"/>
    </xf>
    <xf numFmtId="3" fontId="125" fillId="0" borderId="30" xfId="0" applyNumberFormat="1" applyFont="1" applyBorder="1" applyAlignment="1">
      <alignment horizontal="center" vertical="center"/>
    </xf>
    <xf numFmtId="10" fontId="120" fillId="0" borderId="18" xfId="60" applyNumberFormat="1" applyFont="1" applyFill="1" applyBorder="1" applyAlignment="1">
      <alignment horizontal="right" vertical="center"/>
    </xf>
    <xf numFmtId="10" fontId="120" fillId="0" borderId="32" xfId="60" applyNumberFormat="1" applyFont="1" applyFill="1" applyBorder="1" applyAlignment="1">
      <alignment horizontal="right" vertical="center"/>
    </xf>
    <xf numFmtId="3" fontId="120" fillId="0" borderId="18" xfId="60" applyNumberFormat="1" applyFont="1" applyBorder="1" applyAlignment="1">
      <alignment horizontal="right" vertical="center"/>
    </xf>
    <xf numFmtId="3" fontId="120" fillId="0" borderId="32" xfId="60" applyNumberFormat="1" applyFont="1" applyBorder="1" applyAlignment="1">
      <alignment horizontal="right" vertical="center"/>
    </xf>
    <xf numFmtId="3" fontId="122" fillId="0" borderId="51" xfId="0" applyNumberFormat="1" applyFont="1" applyBorder="1" applyAlignment="1">
      <alignment horizontal="center" vertical="center"/>
    </xf>
    <xf numFmtId="0" fontId="4" fillId="0" borderId="18" xfId="60" applyFont="1" applyFill="1" applyBorder="1" applyAlignment="1">
      <alignment horizontal="left" vertical="center"/>
    </xf>
    <xf numFmtId="0" fontId="119" fillId="0" borderId="18" xfId="60" applyFont="1" applyFill="1" applyBorder="1" applyAlignment="1">
      <alignment horizontal="left" vertical="center"/>
    </xf>
    <xf numFmtId="0" fontId="122" fillId="29" borderId="72" xfId="60" applyFont="1" applyFill="1" applyBorder="1" applyAlignment="1">
      <alignment horizontal="center" vertical="center"/>
    </xf>
    <xf numFmtId="0" fontId="0" fillId="0" borderId="94" xfId="0" applyBorder="1" applyAlignment="1">
      <alignment vertical="center"/>
    </xf>
    <xf numFmtId="0" fontId="122" fillId="0" borderId="72" xfId="0" applyFont="1" applyFill="1" applyBorder="1" applyAlignment="1">
      <alignment horizontal="left" vertical="center"/>
    </xf>
    <xf numFmtId="0" fontId="4" fillId="29" borderId="75" xfId="60" applyFont="1" applyFill="1" applyBorder="1" applyAlignment="1">
      <alignment horizontal="center" vertical="center"/>
    </xf>
    <xf numFmtId="0" fontId="119" fillId="29" borderId="76" xfId="0" applyFont="1" applyFill="1" applyBorder="1" applyAlignment="1">
      <alignment horizontal="center" vertical="center"/>
    </xf>
    <xf numFmtId="0" fontId="4" fillId="29" borderId="34" xfId="60" applyFont="1" applyFill="1" applyBorder="1" applyAlignment="1">
      <alignment vertical="center" textRotation="255" wrapText="1"/>
    </xf>
    <xf numFmtId="0" fontId="119" fillId="29" borderId="15" xfId="60" applyFont="1" applyFill="1" applyBorder="1" applyAlignment="1">
      <alignment wrapText="1"/>
    </xf>
    <xf numFmtId="0" fontId="119" fillId="29" borderId="16" xfId="60" applyFont="1" applyFill="1" applyBorder="1" applyAlignment="1">
      <alignment wrapText="1"/>
    </xf>
    <xf numFmtId="0" fontId="119" fillId="0" borderId="18" xfId="60" applyFont="1" applyBorder="1" applyAlignment="1">
      <alignment horizontal="right"/>
    </xf>
    <xf numFmtId="0" fontId="119" fillId="0" borderId="20" xfId="60" applyFont="1" applyBorder="1" applyAlignment="1">
      <alignment horizontal="right"/>
    </xf>
    <xf numFmtId="3" fontId="125" fillId="0" borderId="18" xfId="60" applyNumberFormat="1" applyFont="1" applyBorder="1" applyAlignment="1">
      <alignment horizontal="right" vertical="center"/>
    </xf>
    <xf numFmtId="182" fontId="4" fillId="29" borderId="16" xfId="66" applyNumberFormat="1" applyFont="1" applyFill="1" applyBorder="1" applyAlignment="1">
      <alignment horizontal="center" vertical="center"/>
    </xf>
    <xf numFmtId="0" fontId="119" fillId="29" borderId="16" xfId="60" applyFont="1" applyFill="1" applyBorder="1" applyAlignment="1"/>
    <xf numFmtId="0" fontId="119" fillId="29" borderId="25" xfId="60" applyFont="1" applyFill="1" applyBorder="1" applyAlignment="1"/>
    <xf numFmtId="0" fontId="4" fillId="0" borderId="72" xfId="60" applyFont="1" applyFill="1" applyBorder="1" applyAlignment="1">
      <alignment vertical="center"/>
    </xf>
    <xf numFmtId="0" fontId="2" fillId="0" borderId="17" xfId="0" applyFont="1" applyBorder="1" applyAlignment="1">
      <alignment vertical="center"/>
    </xf>
    <xf numFmtId="0" fontId="0" fillId="0" borderId="94" xfId="0" applyBorder="1" applyAlignment="1">
      <alignment horizontal="center" vertical="center"/>
    </xf>
    <xf numFmtId="182" fontId="125" fillId="0" borderId="18" xfId="66" applyNumberFormat="1" applyFont="1" applyBorder="1" applyAlignment="1">
      <alignment horizontal="right" vertical="center"/>
    </xf>
    <xf numFmtId="181" fontId="122" fillId="0" borderId="51" xfId="60" applyNumberFormat="1" applyFont="1" applyBorder="1" applyAlignment="1">
      <alignment horizontal="center" vertical="center"/>
    </xf>
    <xf numFmtId="0" fontId="124" fillId="0" borderId="51" xfId="0" applyFont="1" applyBorder="1" applyAlignment="1">
      <alignment vertical="center"/>
    </xf>
    <xf numFmtId="0" fontId="119" fillId="0" borderId="18" xfId="60" applyFont="1" applyBorder="1" applyAlignment="1">
      <alignment horizontal="right" vertical="center"/>
    </xf>
    <xf numFmtId="0" fontId="119" fillId="0" borderId="20" xfId="60" applyFont="1" applyBorder="1" applyAlignment="1">
      <alignment horizontal="right" vertical="center"/>
    </xf>
    <xf numFmtId="0" fontId="122" fillId="0" borderId="19" xfId="60" applyFont="1" applyBorder="1" applyAlignment="1">
      <alignment horizontal="left" vertical="center"/>
    </xf>
    <xf numFmtId="0" fontId="124" fillId="0" borderId="18" xfId="60" applyFont="1" applyBorder="1" applyAlignment="1">
      <alignment vertical="center"/>
    </xf>
    <xf numFmtId="3" fontId="125" fillId="29" borderId="90" xfId="60" applyNumberFormat="1" applyFont="1" applyFill="1" applyBorder="1" applyAlignment="1">
      <alignment horizontal="right" vertical="center"/>
    </xf>
    <xf numFmtId="3" fontId="125" fillId="29" borderId="16" xfId="60" applyNumberFormat="1" applyFont="1" applyFill="1" applyBorder="1" applyAlignment="1">
      <alignment horizontal="right" vertical="center"/>
    </xf>
    <xf numFmtId="0" fontId="125" fillId="0" borderId="18" xfId="60" applyFont="1" applyBorder="1" applyAlignment="1">
      <alignment horizontal="right"/>
    </xf>
    <xf numFmtId="0" fontId="125" fillId="0" borderId="20" xfId="60" applyFont="1" applyBorder="1" applyAlignment="1">
      <alignment horizontal="right"/>
    </xf>
    <xf numFmtId="3" fontId="111" fillId="0" borderId="76" xfId="60" applyNumberFormat="1" applyFont="1" applyBorder="1" applyAlignment="1">
      <alignment horizontal="left" vertical="center" wrapText="1"/>
    </xf>
    <xf numFmtId="3" fontId="120" fillId="0" borderId="76" xfId="60" applyNumberFormat="1" applyFont="1" applyBorder="1" applyAlignment="1">
      <alignment horizontal="left" vertical="center" wrapText="1"/>
    </xf>
    <xf numFmtId="3" fontId="120" fillId="0" borderId="77" xfId="60" applyNumberFormat="1" applyFont="1" applyBorder="1" applyAlignment="1">
      <alignment horizontal="left" vertical="center" wrapText="1"/>
    </xf>
    <xf numFmtId="3" fontId="120" fillId="0" borderId="60" xfId="60" applyNumberFormat="1" applyFont="1" applyBorder="1" applyAlignment="1">
      <alignment horizontal="left" vertical="center" wrapText="1"/>
    </xf>
    <xf numFmtId="3" fontId="120" fillId="0" borderId="51" xfId="60" applyNumberFormat="1" applyFont="1" applyBorder="1" applyAlignment="1">
      <alignment horizontal="left" vertical="center" wrapText="1"/>
    </xf>
    <xf numFmtId="3" fontId="120" fillId="0" borderId="30" xfId="60" applyNumberFormat="1" applyFont="1" applyBorder="1" applyAlignment="1">
      <alignment horizontal="left" vertical="center" wrapText="1"/>
    </xf>
    <xf numFmtId="0" fontId="122" fillId="0" borderId="19" xfId="60" applyFont="1" applyBorder="1" applyAlignment="1">
      <alignment vertical="center"/>
    </xf>
    <xf numFmtId="0" fontId="124" fillId="0" borderId="18" xfId="0" applyFont="1" applyBorder="1" applyAlignment="1">
      <alignment vertical="center"/>
    </xf>
    <xf numFmtId="0" fontId="122" fillId="0" borderId="39" xfId="60" applyFont="1" applyBorder="1" applyAlignment="1">
      <alignment horizontal="left" vertical="center"/>
    </xf>
    <xf numFmtId="0" fontId="124" fillId="0" borderId="51" xfId="60" applyFont="1" applyBorder="1" applyAlignment="1">
      <alignment vertical="center"/>
    </xf>
    <xf numFmtId="3" fontId="120" fillId="0" borderId="51" xfId="60" applyNumberFormat="1" applyFont="1" applyBorder="1" applyAlignment="1">
      <alignment horizontal="right" vertical="center"/>
    </xf>
    <xf numFmtId="0" fontId="119" fillId="0" borderId="51" xfId="60" applyFont="1" applyBorder="1" applyAlignment="1">
      <alignment horizontal="right"/>
    </xf>
    <xf numFmtId="0" fontId="119" fillId="0" borderId="52" xfId="60" applyFont="1" applyBorder="1" applyAlignment="1">
      <alignment horizontal="right"/>
    </xf>
    <xf numFmtId="0" fontId="4" fillId="0" borderId="39" xfId="60" applyFont="1" applyBorder="1" applyAlignment="1">
      <alignment horizontal="left" vertical="center"/>
    </xf>
    <xf numFmtId="0" fontId="119" fillId="0" borderId="51" xfId="60" applyFont="1" applyBorder="1" applyAlignment="1">
      <alignment vertical="center"/>
    </xf>
    <xf numFmtId="0" fontId="4" fillId="29" borderId="16" xfId="60" applyFont="1" applyFill="1" applyBorder="1" applyAlignment="1">
      <alignment horizontal="center" vertical="center"/>
    </xf>
    <xf numFmtId="0" fontId="119" fillId="29" borderId="16" xfId="60" applyFont="1" applyFill="1" applyBorder="1" applyAlignment="1">
      <alignment horizontal="center" vertical="center"/>
    </xf>
    <xf numFmtId="0" fontId="119" fillId="29" borderId="25" xfId="60" applyFont="1" applyFill="1" applyBorder="1" applyAlignment="1">
      <alignment horizontal="center" vertical="center"/>
    </xf>
    <xf numFmtId="3" fontId="125" fillId="0" borderId="51" xfId="60" applyNumberFormat="1" applyFont="1" applyBorder="1" applyAlignment="1">
      <alignment horizontal="right" vertical="center"/>
    </xf>
    <xf numFmtId="10" fontId="120" fillId="0" borderId="20" xfId="60" applyNumberFormat="1" applyFont="1" applyFill="1" applyBorder="1" applyAlignment="1">
      <alignment horizontal="right" vertical="center"/>
    </xf>
    <xf numFmtId="182" fontId="125" fillId="29" borderId="90" xfId="66" applyNumberFormat="1" applyFont="1" applyFill="1" applyBorder="1" applyAlignment="1">
      <alignment horizontal="right" vertical="center"/>
    </xf>
    <xf numFmtId="182" fontId="125" fillId="29" borderId="16" xfId="66" applyNumberFormat="1" applyFont="1" applyFill="1" applyBorder="1" applyAlignment="1">
      <alignment horizontal="right" vertical="center"/>
    </xf>
    <xf numFmtId="3" fontId="120" fillId="0" borderId="30" xfId="60" applyNumberFormat="1" applyFont="1" applyBorder="1" applyAlignment="1">
      <alignment horizontal="right" vertical="center"/>
    </xf>
    <xf numFmtId="0" fontId="4" fillId="29" borderId="34" xfId="60" applyFont="1" applyFill="1" applyBorder="1" applyAlignment="1">
      <alignment horizontal="center" vertical="center" textRotation="255" wrapText="1"/>
    </xf>
    <xf numFmtId="0" fontId="119" fillId="29" borderId="15" xfId="60" applyFont="1" applyFill="1" applyBorder="1" applyAlignment="1">
      <alignment horizontal="center" vertical="center" textRotation="255" wrapText="1"/>
    </xf>
    <xf numFmtId="0" fontId="119" fillId="29" borderId="16" xfId="60" applyFont="1" applyFill="1" applyBorder="1" applyAlignment="1">
      <alignment horizontal="center" vertical="center" textRotation="255" wrapText="1"/>
    </xf>
    <xf numFmtId="0" fontId="122" fillId="0" borderId="51" xfId="60" applyFont="1" applyBorder="1" applyAlignment="1">
      <alignment horizontal="left" vertical="center"/>
    </xf>
    <xf numFmtId="0" fontId="124" fillId="0" borderId="51" xfId="60" applyFont="1" applyBorder="1" applyAlignment="1">
      <alignment horizontal="left" vertical="center"/>
    </xf>
    <xf numFmtId="0" fontId="4" fillId="29" borderId="55" xfId="60" applyFont="1" applyFill="1" applyBorder="1" applyAlignment="1">
      <alignment horizontal="center" vertical="center"/>
    </xf>
    <xf numFmtId="0" fontId="119" fillId="29" borderId="21" xfId="60" applyFont="1" applyFill="1" applyBorder="1" applyAlignment="1">
      <alignment horizontal="center" vertical="center"/>
    </xf>
    <xf numFmtId="10" fontId="120" fillId="0" borderId="18" xfId="0" applyNumberFormat="1" applyFont="1" applyFill="1" applyBorder="1" applyAlignment="1">
      <alignment horizontal="center" vertical="center" wrapText="1"/>
    </xf>
    <xf numFmtId="10" fontId="120" fillId="0" borderId="54" xfId="0" applyNumberFormat="1" applyFont="1" applyFill="1" applyBorder="1" applyAlignment="1">
      <alignment horizontal="center" vertical="center" wrapText="1"/>
    </xf>
    <xf numFmtId="0" fontId="4" fillId="0" borderId="53" xfId="0" applyFont="1" applyFill="1" applyBorder="1" applyAlignment="1">
      <alignment horizontal="center" vertical="center" wrapText="1"/>
    </xf>
    <xf numFmtId="182" fontId="120" fillId="0" borderId="54" xfId="66" applyNumberFormat="1" applyFont="1" applyBorder="1" applyAlignment="1">
      <alignment horizontal="right" vertical="center"/>
    </xf>
    <xf numFmtId="0" fontId="120" fillId="0" borderId="54" xfId="60" applyFont="1" applyBorder="1" applyAlignment="1">
      <alignment horizontal="right"/>
    </xf>
    <xf numFmtId="0" fontId="120" fillId="0" borderId="79" xfId="60" applyFont="1" applyBorder="1" applyAlignment="1">
      <alignment horizontal="right"/>
    </xf>
    <xf numFmtId="0" fontId="4" fillId="0" borderId="16" xfId="60" applyFont="1" applyFill="1" applyBorder="1" applyAlignment="1">
      <alignment horizontal="left" vertical="center"/>
    </xf>
    <xf numFmtId="0" fontId="119" fillId="0" borderId="16" xfId="60" applyFont="1" applyFill="1" applyBorder="1" applyAlignment="1">
      <alignment vertical="center"/>
    </xf>
    <xf numFmtId="0" fontId="119" fillId="0" borderId="25" xfId="60" applyFont="1" applyFill="1" applyBorder="1" applyAlignment="1">
      <alignment vertical="center"/>
    </xf>
    <xf numFmtId="10" fontId="120" fillId="0" borderId="51" xfId="60" applyNumberFormat="1" applyFont="1" applyFill="1" applyBorder="1" applyAlignment="1">
      <alignment horizontal="right" vertical="center"/>
    </xf>
    <xf numFmtId="10" fontId="120" fillId="0" borderId="30" xfId="60" applyNumberFormat="1" applyFont="1" applyFill="1" applyBorder="1" applyAlignment="1">
      <alignment horizontal="right" vertical="center"/>
    </xf>
    <xf numFmtId="0" fontId="4" fillId="29" borderId="91" xfId="60" applyFont="1" applyFill="1" applyBorder="1" applyAlignment="1">
      <alignment horizontal="center" vertical="center" textRotation="255" wrapText="1"/>
    </xf>
    <xf numFmtId="0" fontId="119" fillId="29" borderId="19" xfId="60" applyFont="1" applyFill="1" applyBorder="1" applyAlignment="1">
      <alignment horizontal="center" vertical="center" textRotation="255" wrapText="1"/>
    </xf>
    <xf numFmtId="0" fontId="119" fillId="29" borderId="84" xfId="60" applyFont="1" applyFill="1" applyBorder="1" applyAlignment="1">
      <alignment horizontal="center" vertical="center" textRotation="255" wrapText="1"/>
    </xf>
    <xf numFmtId="0" fontId="77" fillId="0" borderId="53" xfId="0" applyFont="1" applyBorder="1" applyAlignment="1">
      <alignment vertical="center"/>
    </xf>
    <xf numFmtId="0" fontId="122" fillId="29" borderId="23" xfId="60" applyFont="1" applyFill="1" applyBorder="1" applyAlignment="1">
      <alignment horizontal="center" vertical="center" wrapText="1"/>
    </xf>
    <xf numFmtId="0" fontId="124" fillId="29" borderId="31" xfId="60" applyFont="1" applyFill="1" applyBorder="1" applyAlignment="1">
      <alignment horizontal="center" vertical="center" wrapText="1"/>
    </xf>
    <xf numFmtId="0" fontId="124" fillId="29" borderId="57" xfId="60" applyFont="1" applyFill="1" applyBorder="1" applyAlignment="1">
      <alignment horizontal="center" vertical="center" wrapText="1"/>
    </xf>
    <xf numFmtId="0" fontId="124" fillId="29" borderId="24" xfId="60" applyFont="1" applyFill="1" applyBorder="1" applyAlignment="1">
      <alignment horizontal="center" vertical="center" wrapText="1"/>
    </xf>
    <xf numFmtId="0" fontId="124" fillId="29" borderId="0" xfId="60" applyFont="1" applyFill="1" applyBorder="1" applyAlignment="1">
      <alignment horizontal="center" vertical="center" wrapText="1"/>
    </xf>
    <xf numFmtId="0" fontId="124" fillId="29" borderId="67" xfId="60" applyFont="1" applyFill="1" applyBorder="1" applyAlignment="1">
      <alignment horizontal="center" vertical="center" wrapText="1"/>
    </xf>
    <xf numFmtId="0" fontId="119" fillId="0" borderId="32" xfId="60" applyFont="1" applyBorder="1" applyAlignment="1">
      <alignment horizontal="right"/>
    </xf>
    <xf numFmtId="10" fontId="125" fillId="0" borderId="18" xfId="0" applyNumberFormat="1" applyFont="1" applyFill="1" applyBorder="1" applyAlignment="1">
      <alignment horizontal="center" vertical="center" wrapText="1"/>
    </xf>
    <xf numFmtId="10" fontId="77" fillId="0" borderId="18" xfId="0" applyNumberFormat="1" applyFont="1" applyBorder="1" applyAlignment="1">
      <alignment vertical="center"/>
    </xf>
    <xf numFmtId="0" fontId="4" fillId="0" borderId="39" xfId="60" applyFont="1" applyBorder="1" applyAlignment="1">
      <alignment vertical="center"/>
    </xf>
    <xf numFmtId="0" fontId="4" fillId="29" borderId="23" xfId="60" applyFont="1" applyFill="1" applyBorder="1" applyAlignment="1">
      <alignment horizontal="center" vertical="center" wrapText="1"/>
    </xf>
    <xf numFmtId="0" fontId="77" fillId="0" borderId="57" xfId="0" applyFont="1" applyBorder="1" applyAlignment="1">
      <alignment vertical="center"/>
    </xf>
    <xf numFmtId="0" fontId="77" fillId="0" borderId="25" xfId="0" applyFont="1" applyBorder="1" applyAlignment="1">
      <alignment vertical="center"/>
    </xf>
    <xf numFmtId="0" fontId="77" fillId="0" borderId="59" xfId="0" applyFont="1" applyBorder="1" applyAlignment="1">
      <alignment vertical="center"/>
    </xf>
    <xf numFmtId="0" fontId="4" fillId="0" borderId="88" xfId="0" applyFont="1" applyFill="1" applyBorder="1" applyAlignment="1">
      <alignment horizontal="center" vertical="center" wrapText="1"/>
    </xf>
    <xf numFmtId="0" fontId="77" fillId="0" borderId="89" xfId="0" applyFont="1" applyBorder="1" applyAlignment="1">
      <alignment horizontal="center" vertical="center" wrapText="1"/>
    </xf>
    <xf numFmtId="0" fontId="111" fillId="0" borderId="51" xfId="60" applyFont="1" applyBorder="1" applyAlignment="1">
      <alignment vertical="top" wrapText="1"/>
    </xf>
    <xf numFmtId="0" fontId="120" fillId="0" borderId="51" xfId="0" applyFont="1" applyBorder="1" applyAlignment="1">
      <alignment vertical="center"/>
    </xf>
    <xf numFmtId="0" fontId="120" fillId="0" borderId="30" xfId="0" applyFont="1" applyBorder="1" applyAlignment="1">
      <alignment vertical="center"/>
    </xf>
    <xf numFmtId="0" fontId="120" fillId="0" borderId="18" xfId="0" applyFont="1" applyBorder="1" applyAlignment="1">
      <alignment vertical="center"/>
    </xf>
    <xf numFmtId="0" fontId="120" fillId="0" borderId="32" xfId="0" applyFont="1" applyBorder="1" applyAlignment="1">
      <alignment vertical="center"/>
    </xf>
    <xf numFmtId="0" fontId="120" fillId="0" borderId="82" xfId="0" applyFont="1" applyBorder="1" applyAlignment="1">
      <alignment vertical="center"/>
    </xf>
    <xf numFmtId="0" fontId="120" fillId="0" borderId="83" xfId="0" applyFont="1" applyBorder="1" applyAlignment="1">
      <alignment vertical="center"/>
    </xf>
    <xf numFmtId="181" fontId="125" fillId="0" borderId="18" xfId="0" applyNumberFormat="1" applyFont="1" applyFill="1" applyBorder="1" applyAlignment="1">
      <alignment horizontal="center" vertical="center" wrapText="1"/>
    </xf>
    <xf numFmtId="0" fontId="77" fillId="0" borderId="32" xfId="0" applyFont="1" applyBorder="1" applyAlignment="1">
      <alignment vertical="center" wrapText="1"/>
    </xf>
    <xf numFmtId="181" fontId="125" fillId="0" borderId="54" xfId="0" applyNumberFormat="1" applyFont="1" applyFill="1" applyBorder="1" applyAlignment="1">
      <alignment horizontal="center" vertical="center" wrapText="1"/>
    </xf>
    <xf numFmtId="0" fontId="77" fillId="0" borderId="79" xfId="0" applyFont="1" applyBorder="1" applyAlignment="1">
      <alignment vertical="center" wrapText="1"/>
    </xf>
    <xf numFmtId="3" fontId="125" fillId="29" borderId="58" xfId="60" applyNumberFormat="1" applyFont="1" applyFill="1" applyBorder="1" applyAlignment="1">
      <alignment horizontal="right" vertical="center"/>
    </xf>
    <xf numFmtId="3" fontId="125" fillId="29" borderId="13" xfId="60" applyNumberFormat="1" applyFont="1" applyFill="1" applyBorder="1" applyAlignment="1">
      <alignment horizontal="right" vertical="center"/>
    </xf>
    <xf numFmtId="3" fontId="125" fillId="29" borderId="29" xfId="60" applyNumberFormat="1" applyFont="1" applyFill="1" applyBorder="1" applyAlignment="1">
      <alignment horizontal="right" vertical="center"/>
    </xf>
    <xf numFmtId="0" fontId="127" fillId="0" borderId="0" xfId="62" applyFont="1" applyBorder="1" applyAlignment="1">
      <alignment horizontal="left" vertical="top" wrapText="1"/>
    </xf>
    <xf numFmtId="0" fontId="119" fillId="0" borderId="0" xfId="0" applyFont="1" applyBorder="1" applyAlignment="1">
      <alignment horizontal="left" vertical="center"/>
    </xf>
    <xf numFmtId="0" fontId="119" fillId="0" borderId="0" xfId="0" applyFont="1" applyBorder="1" applyAlignment="1">
      <alignment vertical="center"/>
    </xf>
    <xf numFmtId="0" fontId="122" fillId="0" borderId="84" xfId="60" applyFont="1" applyBorder="1" applyAlignment="1">
      <alignment horizontal="left" vertical="center"/>
    </xf>
    <xf numFmtId="0" fontId="124" fillId="0" borderId="54" xfId="60" applyFont="1" applyBorder="1" applyAlignment="1">
      <alignment vertical="center"/>
    </xf>
    <xf numFmtId="0" fontId="111" fillId="0" borderId="56" xfId="60" applyFont="1" applyBorder="1" applyAlignment="1">
      <alignment horizontal="left" vertical="center" wrapText="1"/>
    </xf>
    <xf numFmtId="0" fontId="120" fillId="0" borderId="31" xfId="60" applyFont="1" applyBorder="1" applyAlignment="1">
      <alignment horizontal="left" vertical="center" wrapText="1"/>
    </xf>
    <xf numFmtId="0" fontId="120" fillId="0" borderId="27" xfId="60" applyFont="1" applyBorder="1" applyAlignment="1">
      <alignment horizontal="left" vertical="center" wrapText="1"/>
    </xf>
    <xf numFmtId="0" fontId="120" fillId="0" borderId="63" xfId="60" applyFont="1" applyBorder="1" applyAlignment="1">
      <alignment horizontal="left" vertical="center" wrapText="1"/>
    </xf>
    <xf numFmtId="0" fontId="120" fillId="0" borderId="0" xfId="60" applyFont="1" applyBorder="1" applyAlignment="1">
      <alignment horizontal="left" vertical="center" wrapText="1"/>
    </xf>
    <xf numFmtId="0" fontId="120" fillId="0" borderId="28" xfId="60" applyFont="1" applyBorder="1" applyAlignment="1">
      <alignment horizontal="left" vertical="center" wrapText="1"/>
    </xf>
    <xf numFmtId="0" fontId="119" fillId="29" borderId="31" xfId="60" applyFont="1" applyFill="1" applyBorder="1" applyAlignment="1">
      <alignment horizontal="center" vertical="center" wrapText="1"/>
    </xf>
    <xf numFmtId="0" fontId="119" fillId="29" borderId="57" xfId="60" applyFont="1" applyFill="1" applyBorder="1" applyAlignment="1">
      <alignment horizontal="center" vertical="center" wrapText="1"/>
    </xf>
    <xf numFmtId="0" fontId="119" fillId="29" borderId="24" xfId="60" applyFont="1" applyFill="1" applyBorder="1" applyAlignment="1">
      <alignment horizontal="center" vertical="center" wrapText="1"/>
    </xf>
    <xf numFmtId="0" fontId="119" fillId="29" borderId="0" xfId="60" applyFont="1" applyFill="1" applyBorder="1" applyAlignment="1">
      <alignment horizontal="center" vertical="center" wrapText="1"/>
    </xf>
    <xf numFmtId="0" fontId="119" fillId="29" borderId="67" xfId="60" applyFont="1" applyFill="1" applyBorder="1" applyAlignment="1">
      <alignment horizontal="center" vertical="center" wrapText="1"/>
    </xf>
    <xf numFmtId="3" fontId="120" fillId="0" borderId="90" xfId="60" applyNumberFormat="1" applyFont="1" applyFill="1" applyBorder="1" applyAlignment="1">
      <alignment horizontal="right" vertical="center"/>
    </xf>
    <xf numFmtId="0" fontId="119" fillId="0" borderId="16" xfId="60" applyFont="1" applyFill="1" applyBorder="1" applyAlignment="1">
      <alignment horizontal="right"/>
    </xf>
    <xf numFmtId="0" fontId="119" fillId="0" borderId="25" xfId="60" applyFont="1" applyFill="1" applyBorder="1" applyAlignment="1">
      <alignment horizontal="right"/>
    </xf>
    <xf numFmtId="180" fontId="125" fillId="0" borderId="18" xfId="60" applyNumberFormat="1" applyFont="1" applyBorder="1" applyAlignment="1">
      <alignment horizontal="right" vertical="center" wrapText="1"/>
    </xf>
    <xf numFmtId="0" fontId="4" fillId="0" borderId="53" xfId="60" applyFont="1" applyBorder="1" applyAlignment="1">
      <alignment horizontal="center" vertical="center" wrapText="1"/>
    </xf>
    <xf numFmtId="0" fontId="0" fillId="0" borderId="85" xfId="0" applyBorder="1" applyAlignment="1">
      <alignment vertical="top" wrapText="1"/>
    </xf>
    <xf numFmtId="0" fontId="0" fillId="0" borderId="86" xfId="0" applyBorder="1" applyAlignment="1">
      <alignment vertical="center"/>
    </xf>
    <xf numFmtId="0" fontId="0" fillId="0" borderId="87" xfId="0" applyBorder="1" applyAlignment="1">
      <alignment vertical="center"/>
    </xf>
    <xf numFmtId="0" fontId="0" fillId="0" borderId="58" xfId="0" applyBorder="1" applyAlignment="1">
      <alignment vertical="center"/>
    </xf>
    <xf numFmtId="0" fontId="0" fillId="0" borderId="13" xfId="0" applyBorder="1" applyAlignment="1">
      <alignment vertical="center"/>
    </xf>
    <xf numFmtId="0" fontId="0" fillId="0" borderId="29" xfId="0" applyBorder="1" applyAlignment="1">
      <alignment vertical="center"/>
    </xf>
    <xf numFmtId="0" fontId="119" fillId="0" borderId="57" xfId="0" applyFont="1" applyBorder="1" applyAlignment="1">
      <alignment vertical="center"/>
    </xf>
    <xf numFmtId="0" fontId="119" fillId="0" borderId="24" xfId="0" applyFont="1" applyBorder="1" applyAlignment="1">
      <alignment vertical="center"/>
    </xf>
    <xf numFmtId="0" fontId="119" fillId="0" borderId="67" xfId="0" applyFont="1" applyBorder="1" applyAlignment="1">
      <alignment vertical="center"/>
    </xf>
    <xf numFmtId="0" fontId="119" fillId="0" borderId="92" xfId="0" applyFont="1" applyBorder="1" applyAlignment="1">
      <alignment vertical="center"/>
    </xf>
    <xf numFmtId="0" fontId="119" fillId="0" borderId="93" xfId="0" applyFont="1" applyBorder="1" applyAlignment="1">
      <alignment vertical="center"/>
    </xf>
    <xf numFmtId="0" fontId="70" fillId="0" borderId="13" xfId="60" applyFont="1" applyFill="1" applyBorder="1" applyAlignment="1">
      <alignment horizontal="left" vertical="center"/>
    </xf>
    <xf numFmtId="0" fontId="2" fillId="0" borderId="13" xfId="0" applyFont="1" applyBorder="1" applyAlignment="1">
      <alignment horizontal="left" vertical="center"/>
    </xf>
    <xf numFmtId="0" fontId="42" fillId="0" borderId="19" xfId="60" applyFont="1" applyFill="1" applyBorder="1" applyAlignment="1">
      <alignment horizontal="right" vertical="top" wrapText="1"/>
    </xf>
    <xf numFmtId="0" fontId="72" fillId="0" borderId="18" xfId="60" applyFont="1" applyFill="1" applyBorder="1" applyAlignment="1">
      <alignment horizontal="right" vertical="top" wrapText="1"/>
    </xf>
    <xf numFmtId="3" fontId="45" fillId="0" borderId="20" xfId="60" applyNumberFormat="1" applyFont="1" applyFill="1" applyBorder="1" applyAlignment="1">
      <alignment horizontal="right" vertical="top" wrapText="1"/>
    </xf>
    <xf numFmtId="3" fontId="45" fillId="0" borderId="69" xfId="60" applyNumberFormat="1" applyFont="1" applyFill="1" applyBorder="1" applyAlignment="1">
      <alignment horizontal="right" vertical="top" wrapText="1"/>
    </xf>
    <xf numFmtId="180" fontId="45" fillId="0" borderId="20" xfId="60" applyNumberFormat="1" applyFont="1" applyFill="1" applyBorder="1" applyAlignment="1">
      <alignment horizontal="right" vertical="top" wrapText="1"/>
    </xf>
    <xf numFmtId="180" fontId="45" fillId="0" borderId="69" xfId="60" applyNumberFormat="1" applyFont="1" applyFill="1" applyBorder="1" applyAlignment="1">
      <alignment horizontal="right" vertical="top" wrapText="1"/>
    </xf>
    <xf numFmtId="177" fontId="45" fillId="0" borderId="20" xfId="60" applyNumberFormat="1" applyFont="1" applyFill="1" applyBorder="1" applyAlignment="1">
      <alignment horizontal="right" vertical="top" wrapText="1"/>
    </xf>
    <xf numFmtId="177" fontId="45" fillId="0" borderId="69" xfId="60" applyNumberFormat="1" applyFont="1" applyFill="1" applyBorder="1" applyAlignment="1">
      <alignment horizontal="right" vertical="top" wrapText="1"/>
    </xf>
    <xf numFmtId="0" fontId="42" fillId="0" borderId="18" xfId="60" applyFont="1" applyFill="1" applyBorder="1" applyAlignment="1">
      <alignment horizontal="right" vertical="top" wrapText="1"/>
    </xf>
    <xf numFmtId="0" fontId="5" fillId="0" borderId="18" xfId="60" applyFont="1" applyFill="1" applyBorder="1" applyAlignment="1">
      <alignment horizontal="right" vertical="top" wrapText="1"/>
    </xf>
    <xf numFmtId="10" fontId="45" fillId="0" borderId="21" xfId="74" applyNumberFormat="1" applyFont="1" applyFill="1" applyBorder="1" applyAlignment="1">
      <alignment vertical="top" wrapText="1"/>
    </xf>
    <xf numFmtId="10" fontId="45" fillId="0" borderId="33" xfId="74" applyNumberFormat="1" applyFont="1" applyFill="1" applyBorder="1" applyAlignment="1">
      <alignment vertical="top" wrapText="1"/>
    </xf>
    <xf numFmtId="179" fontId="45" fillId="0" borderId="18" xfId="60" applyNumberFormat="1" applyFont="1" applyFill="1" applyBorder="1" applyAlignment="1">
      <alignment vertical="top" wrapText="1"/>
    </xf>
    <xf numFmtId="179" fontId="45" fillId="0" borderId="18" xfId="60" applyNumberFormat="1" applyFont="1" applyFill="1" applyBorder="1" applyAlignment="1">
      <alignment vertical="center"/>
    </xf>
    <xf numFmtId="179" fontId="45" fillId="0" borderId="32" xfId="60" applyNumberFormat="1" applyFont="1" applyFill="1" applyBorder="1" applyAlignment="1">
      <alignment vertical="center"/>
    </xf>
    <xf numFmtId="0" fontId="5" fillId="0" borderId="39" xfId="60" applyFont="1" applyFill="1" applyBorder="1" applyAlignment="1">
      <alignment horizontal="center" vertical="top" wrapText="1"/>
    </xf>
    <xf numFmtId="9" fontId="72" fillId="0" borderId="55" xfId="60" applyNumberFormat="1" applyFont="1" applyFill="1" applyBorder="1" applyAlignment="1">
      <alignment horizontal="right" vertical="top" wrapText="1"/>
    </xf>
    <xf numFmtId="0" fontId="72" fillId="0" borderId="18" xfId="60" applyFont="1" applyFill="1" applyBorder="1" applyAlignment="1">
      <alignment vertical="center"/>
    </xf>
    <xf numFmtId="0" fontId="72" fillId="0" borderId="32" xfId="60" applyFont="1" applyFill="1" applyBorder="1" applyAlignment="1">
      <alignment vertical="center"/>
    </xf>
    <xf numFmtId="0" fontId="43" fillId="26" borderId="75" xfId="60" applyFont="1" applyFill="1" applyBorder="1" applyAlignment="1">
      <alignment horizontal="left" vertical="top" wrapText="1"/>
    </xf>
    <xf numFmtId="0" fontId="5" fillId="26" borderId="76" xfId="60" applyFont="1" applyFill="1" applyBorder="1" applyAlignment="1">
      <alignment horizontal="left" vertical="top" wrapText="1"/>
    </xf>
    <xf numFmtId="181" fontId="45" fillId="0" borderId="20" xfId="66" applyNumberFormat="1" applyFont="1" applyFill="1" applyBorder="1" applyAlignment="1">
      <alignment horizontal="right" vertical="top" wrapText="1"/>
    </xf>
    <xf numFmtId="181" fontId="45" fillId="0" borderId="69" xfId="66" applyNumberFormat="1" applyFont="1" applyFill="1" applyBorder="1" applyAlignment="1">
      <alignment horizontal="right" vertical="top" wrapText="1"/>
    </xf>
    <xf numFmtId="3" fontId="45" fillId="0" borderId="20" xfId="60" applyNumberFormat="1" applyFont="1" applyFill="1" applyBorder="1" applyAlignment="1">
      <alignment horizontal="right" vertical="center"/>
    </xf>
    <xf numFmtId="3" fontId="45" fillId="0" borderId="69" xfId="60" applyNumberFormat="1" applyFont="1" applyFill="1" applyBorder="1" applyAlignment="1">
      <alignment horizontal="right" vertical="center"/>
    </xf>
    <xf numFmtId="0" fontId="5" fillId="0" borderId="21" xfId="60" applyFont="1" applyFill="1" applyBorder="1" applyAlignment="1">
      <alignment horizontal="right"/>
    </xf>
    <xf numFmtId="0" fontId="5" fillId="0" borderId="33" xfId="60" applyFont="1" applyFill="1" applyBorder="1" applyAlignment="1">
      <alignment horizontal="right"/>
    </xf>
    <xf numFmtId="10" fontId="72" fillId="0" borderId="19" xfId="60" applyNumberFormat="1" applyFont="1" applyFill="1" applyBorder="1" applyAlignment="1">
      <alignment horizontal="right" vertical="top" wrapText="1"/>
    </xf>
    <xf numFmtId="3" fontId="45" fillId="0" borderId="76" xfId="60" applyNumberFormat="1" applyFont="1" applyFill="1" applyBorder="1" applyAlignment="1">
      <alignment horizontal="right" vertical="top" wrapText="1"/>
    </xf>
    <xf numFmtId="3" fontId="45" fillId="0" borderId="77" xfId="60" applyNumberFormat="1" applyFont="1" applyFill="1" applyBorder="1" applyAlignment="1">
      <alignment horizontal="right" vertical="top" wrapText="1"/>
    </xf>
    <xf numFmtId="180" fontId="45" fillId="0" borderId="51" xfId="66" applyNumberFormat="1" applyFont="1" applyFill="1" applyBorder="1" applyAlignment="1">
      <alignment horizontal="right" vertical="top" wrapText="1"/>
    </xf>
    <xf numFmtId="180" fontId="45" fillId="0" borderId="30" xfId="66" applyNumberFormat="1" applyFont="1" applyFill="1" applyBorder="1" applyAlignment="1">
      <alignment horizontal="right" vertical="top" wrapText="1"/>
    </xf>
    <xf numFmtId="0" fontId="43" fillId="0" borderId="55" xfId="60" applyFont="1" applyFill="1" applyBorder="1" applyAlignment="1">
      <alignment horizontal="center" vertical="center" wrapText="1"/>
    </xf>
    <xf numFmtId="0" fontId="5" fillId="0" borderId="21" xfId="60" applyFont="1" applyFill="1" applyBorder="1" applyAlignment="1">
      <alignment horizontal="center" vertical="center" wrapText="1"/>
    </xf>
    <xf numFmtId="177" fontId="72" fillId="0" borderId="18" xfId="60" applyNumberFormat="1" applyFont="1" applyFill="1" applyBorder="1" applyAlignment="1">
      <alignment horizontal="center" vertical="top" wrapText="1"/>
    </xf>
    <xf numFmtId="177" fontId="72" fillId="0" borderId="32" xfId="60" applyNumberFormat="1" applyFont="1" applyFill="1" applyBorder="1" applyAlignment="1">
      <alignment horizontal="center" vertical="top" wrapText="1"/>
    </xf>
    <xf numFmtId="0" fontId="43" fillId="0" borderId="21" xfId="60" applyFont="1" applyFill="1" applyBorder="1" applyAlignment="1">
      <alignment horizontal="center" vertical="center" wrapText="1"/>
    </xf>
    <xf numFmtId="0" fontId="5" fillId="0" borderId="55" xfId="60" applyFont="1" applyFill="1" applyBorder="1" applyAlignment="1">
      <alignment horizontal="left" vertical="top" wrapText="1"/>
    </xf>
    <xf numFmtId="0" fontId="5" fillId="0" borderId="23" xfId="60" applyFont="1" applyFill="1" applyBorder="1" applyAlignment="1">
      <alignment vertical="top" wrapText="1"/>
    </xf>
    <xf numFmtId="0" fontId="5" fillId="0" borderId="31" xfId="60" applyFont="1" applyFill="1" applyBorder="1" applyAlignment="1">
      <alignment vertical="top" wrapText="1"/>
    </xf>
    <xf numFmtId="0" fontId="5" fillId="0" borderId="27" xfId="60" applyFont="1" applyFill="1" applyBorder="1" applyAlignment="1">
      <alignment vertical="top" wrapText="1"/>
    </xf>
    <xf numFmtId="0" fontId="5" fillId="0" borderId="24" xfId="60" applyFont="1" applyFill="1" applyBorder="1" applyAlignment="1">
      <alignment vertical="top" wrapText="1"/>
    </xf>
    <xf numFmtId="0" fontId="5" fillId="0" borderId="0" xfId="60" applyFont="1" applyFill="1" applyBorder="1" applyAlignment="1">
      <alignment vertical="top" wrapText="1"/>
    </xf>
    <xf numFmtId="0" fontId="5" fillId="0" borderId="28" xfId="60" applyFont="1" applyFill="1" applyBorder="1" applyAlignment="1">
      <alignment vertical="top" wrapText="1"/>
    </xf>
    <xf numFmtId="0" fontId="5" fillId="0" borderId="25" xfId="60" applyFont="1" applyFill="1" applyBorder="1" applyAlignment="1">
      <alignment vertical="top" wrapText="1"/>
    </xf>
    <xf numFmtId="0" fontId="5" fillId="0" borderId="13" xfId="60" applyFont="1" applyFill="1" applyBorder="1" applyAlignment="1">
      <alignment vertical="top" wrapText="1"/>
    </xf>
    <xf numFmtId="0" fontId="5" fillId="0" borderId="29" xfId="60" applyFont="1" applyFill="1" applyBorder="1" applyAlignment="1">
      <alignment vertical="top" wrapText="1"/>
    </xf>
    <xf numFmtId="0" fontId="73" fillId="0" borderId="0" xfId="60" applyFont="1" applyBorder="1" applyAlignment="1">
      <alignment horizontal="left"/>
    </xf>
    <xf numFmtId="0" fontId="71" fillId="0" borderId="0" xfId="60" applyFont="1" applyBorder="1" applyAlignment="1">
      <alignment horizontal="left"/>
    </xf>
    <xf numFmtId="182" fontId="72" fillId="0" borderId="21" xfId="66" applyNumberFormat="1" applyFont="1" applyFill="1" applyBorder="1" applyAlignment="1">
      <alignment vertical="center" wrapText="1"/>
    </xf>
    <xf numFmtId="182" fontId="72" fillId="0" borderId="33" xfId="66" applyNumberFormat="1" applyFont="1" applyFill="1" applyBorder="1" applyAlignment="1">
      <alignment vertical="center" wrapText="1"/>
    </xf>
    <xf numFmtId="0" fontId="5" fillId="0" borderId="55" xfId="60" applyFont="1" applyFill="1" applyBorder="1" applyAlignment="1">
      <alignment horizontal="center" vertical="top" wrapText="1"/>
    </xf>
    <xf numFmtId="0" fontId="5" fillId="0" borderId="33" xfId="60" applyFont="1" applyFill="1" applyBorder="1" applyAlignment="1">
      <alignment horizontal="center" vertical="top" wrapText="1"/>
    </xf>
    <xf numFmtId="0" fontId="43" fillId="26" borderId="75" xfId="60" applyFont="1" applyFill="1" applyBorder="1" applyAlignment="1">
      <alignment horizontal="left" vertical="center" wrapText="1"/>
    </xf>
    <xf numFmtId="0" fontId="5" fillId="26" borderId="76" xfId="60" applyFont="1" applyFill="1" applyBorder="1" applyAlignment="1">
      <alignment horizontal="left" vertical="center" wrapText="1"/>
    </xf>
    <xf numFmtId="3" fontId="45" fillId="0" borderId="76" xfId="60" applyNumberFormat="1" applyFont="1" applyFill="1" applyBorder="1" applyAlignment="1">
      <alignment horizontal="right" vertical="center" wrapText="1"/>
    </xf>
    <xf numFmtId="3" fontId="45" fillId="0" borderId="77" xfId="60" applyNumberFormat="1" applyFont="1" applyFill="1" applyBorder="1" applyAlignment="1">
      <alignment horizontal="right" vertical="center" wrapText="1"/>
    </xf>
    <xf numFmtId="185" fontId="147" fillId="0" borderId="22" xfId="0" applyNumberFormat="1" applyFont="1" applyBorder="1" applyAlignment="1">
      <alignment horizontal="right" vertical="center" wrapText="1"/>
    </xf>
    <xf numFmtId="185" fontId="147" fillId="0" borderId="17" xfId="0" applyNumberFormat="1" applyFont="1" applyBorder="1" applyAlignment="1">
      <alignment horizontal="right" vertical="center" wrapText="1"/>
    </xf>
    <xf numFmtId="185" fontId="6" fillId="26" borderId="14" xfId="0" applyNumberFormat="1" applyFont="1" applyFill="1" applyBorder="1" applyAlignment="1">
      <alignment horizontal="center" vertical="center" wrapText="1"/>
    </xf>
    <xf numFmtId="185" fontId="7" fillId="26" borderId="14" xfId="0" applyNumberFormat="1" applyFont="1" applyFill="1" applyBorder="1" applyAlignment="1">
      <alignment horizontal="center" vertical="center" wrapText="1"/>
    </xf>
    <xf numFmtId="185" fontId="6" fillId="26" borderId="34" xfId="0" applyNumberFormat="1" applyFont="1" applyFill="1" applyBorder="1" applyAlignment="1">
      <alignment horizontal="center" vertical="center" wrapText="1"/>
    </xf>
    <xf numFmtId="185" fontId="6" fillId="26" borderId="16" xfId="0" applyNumberFormat="1" applyFont="1" applyFill="1" applyBorder="1" applyAlignment="1">
      <alignment horizontal="center" vertical="center" wrapText="1"/>
    </xf>
    <xf numFmtId="185" fontId="6" fillId="26" borderId="22" xfId="0" applyNumberFormat="1" applyFont="1" applyFill="1" applyBorder="1" applyAlignment="1">
      <alignment horizontal="justify" vertical="center" wrapText="1"/>
    </xf>
    <xf numFmtId="185" fontId="7" fillId="26" borderId="17" xfId="0" applyNumberFormat="1" applyFont="1" applyFill="1" applyBorder="1" applyAlignment="1">
      <alignment horizontal="justify" vertical="center" wrapText="1"/>
    </xf>
    <xf numFmtId="185" fontId="7" fillId="26" borderId="26" xfId="0" applyNumberFormat="1" applyFont="1" applyFill="1" applyBorder="1" applyAlignment="1">
      <alignment horizontal="justify" vertical="center" wrapText="1"/>
    </xf>
    <xf numFmtId="185" fontId="151" fillId="0" borderId="17" xfId="0" applyNumberFormat="1" applyFont="1" applyBorder="1" applyAlignment="1">
      <alignment horizontal="right" vertical="center" wrapText="1"/>
    </xf>
    <xf numFmtId="49" fontId="7" fillId="26" borderId="22" xfId="0" applyNumberFormat="1" applyFont="1" applyFill="1" applyBorder="1" applyAlignment="1">
      <alignment vertical="center" wrapText="1"/>
    </xf>
    <xf numFmtId="49" fontId="7" fillId="26" borderId="17" xfId="0" applyNumberFormat="1" applyFont="1" applyFill="1" applyBorder="1" applyAlignment="1">
      <alignment vertical="center" wrapText="1"/>
    </xf>
    <xf numFmtId="49" fontId="7" fillId="26" borderId="26" xfId="0" applyNumberFormat="1" applyFont="1" applyFill="1" applyBorder="1" applyAlignment="1">
      <alignment vertical="center" wrapText="1"/>
    </xf>
    <xf numFmtId="185" fontId="43" fillId="26" borderId="14" xfId="0" applyNumberFormat="1" applyFont="1" applyFill="1" applyBorder="1" applyAlignment="1">
      <alignment horizontal="center" vertical="center"/>
    </xf>
    <xf numFmtId="0" fontId="0" fillId="26" borderId="14" xfId="0" applyFill="1" applyBorder="1" applyAlignment="1">
      <alignment horizontal="center" vertical="center"/>
    </xf>
    <xf numFmtId="185" fontId="5" fillId="0" borderId="22" xfId="0" applyNumberFormat="1" applyFont="1" applyBorder="1" applyAlignment="1">
      <alignment vertical="center"/>
    </xf>
    <xf numFmtId="185" fontId="5" fillId="0" borderId="17" xfId="0" applyNumberFormat="1" applyFont="1" applyBorder="1" applyAlignment="1">
      <alignment vertical="center"/>
    </xf>
    <xf numFmtId="185" fontId="5" fillId="0" borderId="26" xfId="0" applyNumberFormat="1" applyFont="1" applyBorder="1" applyAlignment="1">
      <alignment vertical="center"/>
    </xf>
    <xf numFmtId="0" fontId="0" fillId="0" borderId="14" xfId="0" applyBorder="1" applyAlignment="1">
      <alignment vertical="center"/>
    </xf>
    <xf numFmtId="0" fontId="151" fillId="0" borderId="14" xfId="0" applyFont="1" applyBorder="1" applyAlignment="1">
      <alignment vertical="center"/>
    </xf>
    <xf numFmtId="49" fontId="144" fillId="0" borderId="14" xfId="0" applyNumberFormat="1" applyFont="1" applyBorder="1" applyAlignment="1">
      <alignment horizontal="center" vertical="center" wrapText="1"/>
    </xf>
    <xf numFmtId="185" fontId="6" fillId="26" borderId="23" xfId="0" applyNumberFormat="1" applyFont="1" applyFill="1" applyBorder="1" applyAlignment="1">
      <alignment horizontal="center" vertical="center" wrapText="1"/>
    </xf>
    <xf numFmtId="185" fontId="7" fillId="26" borderId="27" xfId="0" applyNumberFormat="1" applyFont="1" applyFill="1" applyBorder="1" applyAlignment="1">
      <alignment horizontal="center" vertical="center" wrapText="1"/>
    </xf>
    <xf numFmtId="49" fontId="6" fillId="26" borderId="22" xfId="0" applyNumberFormat="1" applyFont="1" applyFill="1" applyBorder="1" applyAlignment="1">
      <alignment horizontal="center" vertical="center" wrapText="1"/>
    </xf>
    <xf numFmtId="49" fontId="7" fillId="26" borderId="26" xfId="0" applyNumberFormat="1" applyFont="1" applyFill="1" applyBorder="1" applyAlignment="1">
      <alignment horizontal="center" vertical="center" wrapText="1"/>
    </xf>
    <xf numFmtId="49" fontId="144" fillId="0" borderId="22" xfId="0" applyNumberFormat="1" applyFont="1" applyBorder="1" applyAlignment="1">
      <alignment horizontal="center" vertical="center" wrapText="1"/>
    </xf>
    <xf numFmtId="49" fontId="144" fillId="0" borderId="26" xfId="0" applyNumberFormat="1" applyFont="1" applyBorder="1" applyAlignment="1">
      <alignment horizontal="center" vertical="center" wrapText="1"/>
    </xf>
    <xf numFmtId="0" fontId="12" fillId="26" borderId="39" xfId="63" applyFont="1" applyFill="1" applyBorder="1" applyAlignment="1" applyProtection="1">
      <alignment horizontal="center" vertical="center" wrapText="1"/>
      <protection locked="0"/>
    </xf>
    <xf numFmtId="0" fontId="3" fillId="26" borderId="51" xfId="0" applyFont="1" applyFill="1" applyBorder="1" applyAlignment="1">
      <alignment horizontal="center" vertical="center" wrapText="1"/>
    </xf>
    <xf numFmtId="0" fontId="11" fillId="28" borderId="19" xfId="63" applyFont="1" applyFill="1" applyBorder="1" applyAlignment="1" applyProtection="1">
      <alignment horizontal="center" vertical="center"/>
      <protection locked="0"/>
    </xf>
    <xf numFmtId="0" fontId="11" fillId="28" borderId="18" xfId="63" applyFont="1" applyFill="1" applyBorder="1" applyAlignment="1" applyProtection="1">
      <alignment horizontal="center" vertical="center"/>
      <protection locked="0"/>
    </xf>
    <xf numFmtId="0" fontId="11" fillId="28" borderId="32" xfId="63" applyFont="1" applyFill="1" applyBorder="1" applyAlignment="1" applyProtection="1">
      <alignment horizontal="center" vertical="center"/>
      <protection locked="0"/>
    </xf>
    <xf numFmtId="0" fontId="10" fillId="27" borderId="19" xfId="63" applyFont="1" applyFill="1" applyBorder="1" applyAlignment="1" applyProtection="1">
      <alignment horizontal="center" vertical="top" wrapText="1"/>
      <protection locked="0"/>
    </xf>
    <xf numFmtId="0" fontId="11" fillId="27" borderId="18" xfId="63" applyFont="1" applyFill="1" applyBorder="1" applyAlignment="1" applyProtection="1">
      <alignment horizontal="center" vertical="top" wrapText="1"/>
      <protection locked="0"/>
    </xf>
    <xf numFmtId="0" fontId="10" fillId="26" borderId="39" xfId="63" applyFont="1" applyFill="1" applyBorder="1" applyAlignment="1" applyProtection="1">
      <alignment horizontal="center" vertical="center" wrapText="1"/>
      <protection locked="0"/>
    </xf>
    <xf numFmtId="0" fontId="5" fillId="26" borderId="51" xfId="0" applyFont="1" applyFill="1" applyBorder="1" applyAlignment="1">
      <alignment horizontal="center" vertical="center" wrapText="1"/>
    </xf>
    <xf numFmtId="0" fontId="6" fillId="26" borderId="19" xfId="63" applyFont="1" applyFill="1" applyBorder="1" applyAlignment="1" applyProtection="1">
      <alignment horizontal="center" vertical="center" wrapText="1"/>
    </xf>
    <xf numFmtId="0" fontId="7" fillId="26" borderId="18" xfId="63" applyFont="1" applyFill="1" applyBorder="1" applyAlignment="1" applyProtection="1">
      <alignment horizontal="center" vertical="center" wrapText="1"/>
    </xf>
    <xf numFmtId="0" fontId="11" fillId="27" borderId="19" xfId="63" applyFont="1" applyFill="1" applyBorder="1" applyAlignment="1" applyProtection="1">
      <alignment horizontal="center" vertical="top" wrapText="1"/>
      <protection locked="0"/>
    </xf>
    <xf numFmtId="0" fontId="5" fillId="0" borderId="0" xfId="63" applyFont="1" applyAlignment="1">
      <alignment vertical="center" wrapText="1"/>
    </xf>
    <xf numFmtId="0" fontId="5" fillId="0" borderId="0" xfId="0" applyFont="1" applyAlignment="1">
      <alignment vertical="center" wrapText="1"/>
    </xf>
    <xf numFmtId="0" fontId="43" fillId="0" borderId="0" xfId="63" applyFont="1" applyAlignment="1">
      <alignment vertical="center" wrapText="1"/>
    </xf>
    <xf numFmtId="0" fontId="2" fillId="0" borderId="0" xfId="0" applyFont="1" applyAlignment="1">
      <alignment vertical="center" wrapText="1"/>
    </xf>
    <xf numFmtId="3" fontId="11" fillId="28" borderId="19" xfId="63" applyNumberFormat="1" applyFont="1" applyFill="1" applyBorder="1" applyAlignment="1" applyProtection="1">
      <alignment horizontal="center" vertical="center" wrapText="1"/>
      <protection locked="0"/>
    </xf>
    <xf numFmtId="0" fontId="11" fillId="28" borderId="18" xfId="63" applyFont="1" applyFill="1" applyBorder="1" applyAlignment="1" applyProtection="1">
      <alignment horizontal="center" vertical="center" wrapText="1"/>
      <protection locked="0"/>
    </xf>
    <xf numFmtId="0" fontId="11" fillId="28" borderId="32" xfId="63" applyFont="1" applyFill="1" applyBorder="1" applyAlignment="1" applyProtection="1">
      <alignment horizontal="center" vertical="center" wrapText="1"/>
      <protection locked="0"/>
    </xf>
    <xf numFmtId="0" fontId="6" fillId="28" borderId="19" xfId="63" applyFont="1" applyFill="1" applyBorder="1" applyAlignment="1" applyProtection="1">
      <alignment horizontal="center" vertical="top" wrapText="1"/>
      <protection locked="0"/>
    </xf>
    <xf numFmtId="0" fontId="7" fillId="28" borderId="18" xfId="63" applyFont="1" applyFill="1" applyBorder="1" applyAlignment="1" applyProtection="1">
      <alignment horizontal="center" vertical="top" wrapText="1"/>
      <protection locked="0"/>
    </xf>
    <xf numFmtId="0" fontId="7" fillId="28" borderId="32" xfId="63" applyFont="1" applyFill="1" applyBorder="1" applyAlignment="1" applyProtection="1">
      <alignment horizontal="center" vertical="top" wrapText="1"/>
      <protection locked="0"/>
    </xf>
    <xf numFmtId="0" fontId="43" fillId="0" borderId="31" xfId="63" applyFont="1" applyBorder="1" applyAlignment="1">
      <alignment vertical="center"/>
    </xf>
    <xf numFmtId="0" fontId="43" fillId="0" borderId="31" xfId="0" applyFont="1" applyBorder="1" applyAlignment="1">
      <alignment vertical="center"/>
    </xf>
    <xf numFmtId="0" fontId="43" fillId="0" borderId="0" xfId="0" applyFont="1" applyBorder="1" applyAlignment="1">
      <alignment vertical="center"/>
    </xf>
    <xf numFmtId="0" fontId="6" fillId="26" borderId="14" xfId="63" applyFont="1" applyFill="1" applyBorder="1" applyAlignment="1">
      <alignment horizontal="center" vertical="center" wrapText="1"/>
    </xf>
    <xf numFmtId="0" fontId="0" fillId="26" borderId="14" xfId="0" applyFill="1" applyBorder="1" applyAlignment="1">
      <alignment horizontal="center" vertical="center" wrapText="1"/>
    </xf>
    <xf numFmtId="0" fontId="84" fillId="0" borderId="14" xfId="0" applyFont="1" applyBorder="1" applyAlignment="1">
      <alignment vertical="top" wrapText="1"/>
    </xf>
    <xf numFmtId="0" fontId="10" fillId="28" borderId="19" xfId="63" applyFont="1" applyFill="1" applyBorder="1" applyAlignment="1" applyProtection="1">
      <alignment horizontal="center" vertical="top" wrapText="1"/>
      <protection locked="0"/>
    </xf>
    <xf numFmtId="0" fontId="11" fillId="28" borderId="18" xfId="63" applyFont="1" applyFill="1" applyBorder="1" applyAlignment="1" applyProtection="1">
      <alignment horizontal="center" vertical="top" wrapText="1"/>
      <protection locked="0"/>
    </xf>
    <xf numFmtId="0" fontId="11" fillId="28" borderId="32" xfId="63" applyFont="1" applyFill="1" applyBorder="1" applyAlignment="1" applyProtection="1">
      <alignment horizontal="center" vertical="top" wrapText="1"/>
      <protection locked="0"/>
    </xf>
    <xf numFmtId="0" fontId="6" fillId="26" borderId="81" xfId="63" applyFont="1" applyFill="1" applyBorder="1" applyAlignment="1">
      <alignment vertical="top" wrapText="1"/>
    </xf>
    <xf numFmtId="0" fontId="6" fillId="26" borderId="70" xfId="63" applyFont="1" applyFill="1" applyBorder="1" applyAlignment="1">
      <alignment vertical="top" wrapText="1"/>
    </xf>
    <xf numFmtId="0" fontId="0" fillId="26" borderId="70" xfId="0" applyFill="1" applyBorder="1" applyAlignment="1">
      <alignment vertical="top" wrapText="1"/>
    </xf>
    <xf numFmtId="0" fontId="0" fillId="26" borderId="95" xfId="0" applyFill="1" applyBorder="1" applyAlignment="1">
      <alignment vertical="top" wrapText="1"/>
    </xf>
    <xf numFmtId="182" fontId="9" fillId="28" borderId="55" xfId="66" applyNumberFormat="1" applyFont="1" applyFill="1" applyBorder="1" applyAlignment="1" applyProtection="1">
      <alignment horizontal="right" vertical="top" wrapText="1"/>
      <protection locked="0"/>
    </xf>
    <xf numFmtId="0" fontId="5" fillId="28" borderId="21" xfId="0" applyFont="1" applyFill="1" applyBorder="1" applyAlignment="1" applyProtection="1">
      <alignment horizontal="right" vertical="top" wrapText="1"/>
      <protection locked="0"/>
    </xf>
    <xf numFmtId="0" fontId="5" fillId="28" borderId="33" xfId="0" applyFont="1" applyFill="1" applyBorder="1" applyAlignment="1" applyProtection="1">
      <alignment horizontal="right" vertical="top" wrapText="1"/>
      <protection locked="0"/>
    </xf>
    <xf numFmtId="0" fontId="5" fillId="0" borderId="0" xfId="0" applyFont="1" applyBorder="1" applyAlignment="1" applyProtection="1">
      <alignment vertical="center"/>
      <protection locked="0"/>
    </xf>
    <xf numFmtId="0" fontId="5" fillId="0" borderId="13" xfId="0" applyFont="1" applyBorder="1" applyAlignment="1" applyProtection="1">
      <alignment vertical="center"/>
      <protection locked="0"/>
    </xf>
    <xf numFmtId="0" fontId="43" fillId="0" borderId="0" xfId="0" applyFont="1" applyBorder="1" applyAlignment="1">
      <alignment horizontal="center" vertical="center"/>
    </xf>
    <xf numFmtId="0" fontId="2" fillId="0" borderId="0" xfId="0" applyFont="1" applyAlignment="1">
      <alignment horizontal="center" vertical="center"/>
    </xf>
    <xf numFmtId="0" fontId="10" fillId="27" borderId="19" xfId="63" applyFont="1" applyFill="1" applyBorder="1" applyAlignment="1" applyProtection="1">
      <alignment horizontal="left" vertical="center" wrapText="1"/>
      <protection locked="0"/>
    </xf>
    <xf numFmtId="0" fontId="11" fillId="27" borderId="18" xfId="63" applyFont="1" applyFill="1" applyBorder="1" applyAlignment="1" applyProtection="1">
      <alignment horizontal="left" vertical="center" wrapText="1"/>
      <protection locked="0"/>
    </xf>
    <xf numFmtId="0" fontId="11" fillId="27" borderId="32" xfId="63" applyFont="1" applyFill="1" applyBorder="1" applyAlignment="1" applyProtection="1">
      <alignment horizontal="left" vertical="center" wrapText="1"/>
      <protection locked="0"/>
    </xf>
    <xf numFmtId="0" fontId="72" fillId="27" borderId="19" xfId="0" applyFont="1" applyFill="1" applyBorder="1" applyAlignment="1" applyProtection="1">
      <alignment vertical="center" wrapText="1"/>
      <protection locked="0"/>
    </xf>
    <xf numFmtId="0" fontId="72" fillId="27" borderId="18" xfId="0" applyFont="1" applyFill="1" applyBorder="1" applyAlignment="1" applyProtection="1">
      <alignment vertical="center" wrapText="1"/>
      <protection locked="0"/>
    </xf>
    <xf numFmtId="0" fontId="72" fillId="27" borderId="32" xfId="0" applyFont="1" applyFill="1" applyBorder="1" applyAlignment="1" applyProtection="1">
      <alignment vertical="center" wrapText="1"/>
      <protection locked="0"/>
    </xf>
    <xf numFmtId="0" fontId="48" fillId="0" borderId="13" xfId="63" applyFont="1" applyBorder="1" applyAlignment="1">
      <alignment horizontal="left" vertical="center"/>
    </xf>
    <xf numFmtId="0" fontId="50" fillId="0" borderId="13" xfId="0" applyFont="1" applyBorder="1" applyAlignment="1">
      <alignment vertical="center"/>
    </xf>
    <xf numFmtId="0" fontId="6" fillId="26" borderId="39" xfId="63" applyFont="1" applyFill="1" applyBorder="1" applyAlignment="1">
      <alignment horizontal="center" vertical="center" wrapText="1"/>
    </xf>
    <xf numFmtId="0" fontId="7" fillId="26" borderId="30" xfId="0" applyFont="1" applyFill="1" applyBorder="1" applyAlignment="1">
      <alignment horizontal="center" vertical="center" wrapText="1"/>
    </xf>
    <xf numFmtId="0" fontId="7" fillId="26" borderId="19" xfId="0" applyFont="1" applyFill="1" applyBorder="1" applyAlignment="1">
      <alignment horizontal="center" vertical="center" wrapText="1"/>
    </xf>
    <xf numFmtId="0" fontId="7" fillId="26" borderId="32" xfId="0" applyFont="1" applyFill="1" applyBorder="1" applyAlignment="1">
      <alignment horizontal="center" vertical="center" wrapText="1"/>
    </xf>
    <xf numFmtId="0" fontId="7" fillId="26" borderId="32" xfId="63" applyFont="1" applyFill="1" applyBorder="1" applyAlignment="1" applyProtection="1">
      <alignment horizontal="center" vertical="center" wrapText="1"/>
    </xf>
    <xf numFmtId="0" fontId="92" fillId="28" borderId="19" xfId="63" applyFont="1" applyFill="1" applyBorder="1" applyAlignment="1" applyProtection="1">
      <alignment horizontal="center" vertical="center" wrapText="1"/>
      <protection locked="0"/>
    </xf>
    <xf numFmtId="0" fontId="93" fillId="28" borderId="18" xfId="63" applyFont="1" applyFill="1" applyBorder="1" applyAlignment="1" applyProtection="1">
      <alignment horizontal="center" vertical="center" wrapText="1"/>
      <protection locked="0"/>
    </xf>
    <xf numFmtId="0" fontId="93" fillId="28" borderId="32" xfId="63" applyFont="1" applyFill="1" applyBorder="1" applyAlignment="1" applyProtection="1">
      <alignment horizontal="center" vertical="center" wrapText="1"/>
      <protection locked="0"/>
    </xf>
    <xf numFmtId="0" fontId="7" fillId="26" borderId="19" xfId="0" applyFont="1" applyFill="1" applyBorder="1" applyAlignment="1">
      <alignment vertical="center"/>
    </xf>
    <xf numFmtId="0" fontId="7" fillId="26" borderId="32" xfId="0" applyFont="1" applyFill="1" applyBorder="1" applyAlignment="1">
      <alignment vertical="center"/>
    </xf>
    <xf numFmtId="0" fontId="140" fillId="26" borderId="19" xfId="63" applyFont="1" applyFill="1" applyBorder="1" applyAlignment="1">
      <alignment horizontal="justify" vertical="center" wrapText="1"/>
    </xf>
    <xf numFmtId="0" fontId="141" fillId="26" borderId="32" xfId="0" applyFont="1" applyFill="1" applyBorder="1" applyAlignment="1">
      <alignment horizontal="justify" vertical="center" wrapText="1"/>
    </xf>
    <xf numFmtId="0" fontId="7" fillId="26" borderId="19" xfId="63" applyFont="1" applyFill="1" applyBorder="1" applyAlignment="1">
      <alignment horizontal="center" vertical="center" wrapText="1"/>
    </xf>
    <xf numFmtId="0" fontId="8" fillId="26" borderId="19" xfId="63" applyFont="1" applyFill="1" applyBorder="1" applyAlignment="1">
      <alignment horizontal="center" vertical="center" wrapText="1"/>
    </xf>
    <xf numFmtId="0" fontId="87" fillId="26" borderId="19" xfId="63" applyFont="1" applyFill="1" applyBorder="1" applyAlignment="1">
      <alignment horizontal="center" vertical="center" wrapText="1"/>
    </xf>
    <xf numFmtId="0" fontId="11" fillId="28" borderId="19" xfId="63" applyFont="1" applyFill="1" applyBorder="1" applyAlignment="1" applyProtection="1">
      <alignment horizontal="center" vertical="top" wrapText="1"/>
      <protection locked="0"/>
    </xf>
    <xf numFmtId="0" fontId="6" fillId="27" borderId="19" xfId="63" applyFont="1" applyFill="1" applyBorder="1" applyAlignment="1" applyProtection="1">
      <alignment horizontal="center" vertical="top" wrapText="1"/>
      <protection locked="0"/>
    </xf>
    <xf numFmtId="0" fontId="99" fillId="27" borderId="19" xfId="63" applyFont="1" applyFill="1" applyBorder="1" applyAlignment="1" applyProtection="1">
      <alignment horizontal="center" vertical="top" wrapText="1"/>
      <protection locked="0"/>
    </xf>
    <xf numFmtId="0" fontId="100" fillId="27" borderId="18" xfId="63" applyFont="1" applyFill="1" applyBorder="1" applyAlignment="1" applyProtection="1">
      <alignment horizontal="center" vertical="top" wrapText="1"/>
      <protection locked="0"/>
    </xf>
    <xf numFmtId="10" fontId="9" fillId="28" borderId="39" xfId="63" applyNumberFormat="1" applyFont="1" applyFill="1" applyBorder="1" applyAlignment="1">
      <alignment horizontal="right" vertical="top" wrapText="1"/>
    </xf>
    <xf numFmtId="10" fontId="5" fillId="28" borderId="51" xfId="0" applyNumberFormat="1" applyFont="1" applyFill="1" applyBorder="1" applyAlignment="1">
      <alignment horizontal="right" vertical="top" wrapText="1"/>
    </xf>
    <xf numFmtId="10" fontId="5" fillId="28" borderId="30" xfId="0" applyNumberFormat="1" applyFont="1" applyFill="1" applyBorder="1" applyAlignment="1">
      <alignment horizontal="right" vertical="top" wrapText="1"/>
    </xf>
    <xf numFmtId="0" fontId="84" fillId="0" borderId="22" xfId="0" applyFont="1" applyBorder="1" applyAlignment="1">
      <alignment vertical="top" wrapText="1"/>
    </xf>
    <xf numFmtId="0" fontId="0" fillId="0" borderId="17" xfId="0" applyBorder="1" applyAlignment="1">
      <alignment vertical="top" wrapText="1"/>
    </xf>
    <xf numFmtId="0" fontId="0" fillId="0" borderId="26" xfId="0" applyBorder="1" applyAlignment="1">
      <alignment vertical="top" wrapText="1"/>
    </xf>
    <xf numFmtId="0" fontId="6" fillId="26" borderId="78" xfId="63" applyFont="1" applyFill="1" applyBorder="1" applyAlignment="1">
      <alignment vertical="top" wrapText="1"/>
    </xf>
    <xf numFmtId="0" fontId="6" fillId="26" borderId="68" xfId="63" applyFont="1" applyFill="1" applyBorder="1" applyAlignment="1">
      <alignment vertical="top" wrapText="1"/>
    </xf>
    <xf numFmtId="0" fontId="0" fillId="26" borderId="68" xfId="0" applyFill="1" applyBorder="1" applyAlignment="1">
      <alignment vertical="top" wrapText="1"/>
    </xf>
    <xf numFmtId="0" fontId="0" fillId="26" borderId="69" xfId="0" applyFill="1" applyBorder="1" applyAlignment="1">
      <alignment vertical="top" wrapText="1"/>
    </xf>
    <xf numFmtId="182" fontId="9" fillId="28" borderId="19" xfId="66" applyNumberFormat="1" applyFont="1" applyFill="1" applyBorder="1" applyAlignment="1">
      <alignment horizontal="right" vertical="top" wrapText="1"/>
    </xf>
    <xf numFmtId="0" fontId="5" fillId="28" borderId="18" xfId="0" applyFont="1" applyFill="1" applyBorder="1" applyAlignment="1">
      <alignment horizontal="right" vertical="top" wrapText="1"/>
    </xf>
    <xf numFmtId="0" fontId="5" fillId="28" borderId="32" xfId="0" applyFont="1" applyFill="1" applyBorder="1" applyAlignment="1">
      <alignment horizontal="right" vertical="top" wrapText="1"/>
    </xf>
    <xf numFmtId="0" fontId="6" fillId="26" borderId="39" xfId="63" applyFont="1" applyFill="1" applyBorder="1" applyAlignment="1">
      <alignment vertical="top" wrapText="1"/>
    </xf>
    <xf numFmtId="0" fontId="84" fillId="26" borderId="51" xfId="0" applyFont="1" applyFill="1" applyBorder="1" applyAlignment="1">
      <alignment vertical="top" wrapText="1"/>
    </xf>
    <xf numFmtId="0" fontId="84" fillId="26" borderId="30" xfId="0" applyFont="1" applyFill="1" applyBorder="1" applyAlignment="1">
      <alignment vertical="top" wrapText="1"/>
    </xf>
    <xf numFmtId="0" fontId="100" fillId="27" borderId="19" xfId="63" applyFont="1" applyFill="1" applyBorder="1" applyAlignment="1" applyProtection="1">
      <alignment horizontal="center" vertical="top" wrapText="1"/>
      <protection locked="0"/>
    </xf>
    <xf numFmtId="0" fontId="6" fillId="26" borderId="39" xfId="63" applyFont="1" applyFill="1" applyBorder="1" applyAlignment="1" applyProtection="1">
      <alignment horizontal="center" vertical="center" wrapText="1"/>
      <protection locked="0"/>
    </xf>
    <xf numFmtId="0" fontId="43" fillId="26" borderId="34" xfId="0" applyFont="1" applyFill="1" applyBorder="1" applyAlignment="1">
      <alignment horizontal="center" vertical="center"/>
    </xf>
    <xf numFmtId="0" fontId="43" fillId="26" borderId="16" xfId="0" applyFont="1" applyFill="1" applyBorder="1" applyAlignment="1">
      <alignment horizontal="center" vertical="center"/>
    </xf>
    <xf numFmtId="0" fontId="48" fillId="0" borderId="0" xfId="0" applyFont="1" applyAlignment="1">
      <alignment horizontal="left" vertical="center"/>
    </xf>
    <xf numFmtId="0" fontId="49" fillId="0" borderId="0" xfId="0" applyFont="1" applyAlignment="1">
      <alignment vertical="center"/>
    </xf>
    <xf numFmtId="0" fontId="41" fillId="0" borderId="0" xfId="0" applyFont="1" applyFill="1" applyBorder="1" applyAlignment="1">
      <alignment horizontal="justify" vertical="center" wrapText="1"/>
    </xf>
    <xf numFmtId="0" fontId="43" fillId="26" borderId="34" xfId="0" applyFont="1" applyFill="1" applyBorder="1" applyAlignment="1">
      <alignment horizontal="center" vertical="center" wrapText="1"/>
    </xf>
    <xf numFmtId="0" fontId="5" fillId="26" borderId="16" xfId="0" applyFont="1" applyFill="1" applyBorder="1" applyAlignment="1">
      <alignment horizontal="center" vertical="center" wrapText="1"/>
    </xf>
    <xf numFmtId="0" fontId="43" fillId="26" borderId="14" xfId="0" applyFont="1" applyFill="1" applyBorder="1" applyAlignment="1">
      <alignment horizontal="center" vertical="center" wrapText="1"/>
    </xf>
    <xf numFmtId="0" fontId="5" fillId="26" borderId="14" xfId="0" applyFont="1" applyFill="1" applyBorder="1" applyAlignment="1">
      <alignment horizontal="center" vertical="center" wrapText="1"/>
    </xf>
    <xf numFmtId="49" fontId="43" fillId="26" borderId="14" xfId="0" applyNumberFormat="1" applyFont="1" applyFill="1" applyBorder="1" applyAlignment="1">
      <alignment horizontal="center" vertical="center"/>
    </xf>
    <xf numFmtId="49" fontId="5" fillId="26" borderId="14" xfId="0" applyNumberFormat="1" applyFont="1" applyFill="1" applyBorder="1" applyAlignment="1">
      <alignment horizontal="center" vertical="center"/>
    </xf>
    <xf numFmtId="0" fontId="5" fillId="0" borderId="0" xfId="0" applyFont="1" applyFill="1" applyBorder="1" applyAlignment="1">
      <alignment horizontal="justify" vertical="center" wrapText="1"/>
    </xf>
    <xf numFmtId="0" fontId="2" fillId="0" borderId="0" xfId="0" applyFont="1" applyAlignment="1">
      <alignment vertical="center"/>
    </xf>
    <xf numFmtId="0" fontId="43" fillId="0" borderId="0" xfId="0" applyFont="1" applyFill="1" applyBorder="1" applyAlignment="1">
      <alignment horizontal="right" vertical="center" wrapText="1"/>
    </xf>
    <xf numFmtId="0" fontId="0" fillId="0" borderId="0" xfId="0" applyFont="1" applyAlignment="1">
      <alignment horizontal="right" vertical="center"/>
    </xf>
    <xf numFmtId="0" fontId="43" fillId="0" borderId="0" xfId="0" applyFont="1" applyAlignment="1">
      <alignment horizontal="right" vertical="center"/>
    </xf>
    <xf numFmtId="0" fontId="5" fillId="0" borderId="0" xfId="0" applyFont="1" applyAlignment="1">
      <alignment horizontal="right" vertical="center"/>
    </xf>
    <xf numFmtId="0" fontId="43" fillId="0" borderId="13" xfId="0" applyFont="1" applyBorder="1" applyAlignment="1">
      <alignment horizontal="left" vertical="center"/>
    </xf>
    <xf numFmtId="0" fontId="43" fillId="0" borderId="13" xfId="0" applyFont="1" applyBorder="1" applyAlignment="1">
      <alignment vertical="center"/>
    </xf>
    <xf numFmtId="0" fontId="0" fillId="0" borderId="0" xfId="0" applyFont="1" applyAlignment="1">
      <alignment vertical="center"/>
    </xf>
    <xf numFmtId="0" fontId="6" fillId="0" borderId="31" xfId="64" applyFont="1" applyBorder="1" applyAlignment="1">
      <alignment vertical="center"/>
    </xf>
    <xf numFmtId="0" fontId="2" fillId="0" borderId="31" xfId="0" applyFont="1" applyBorder="1" applyAlignment="1">
      <alignment vertical="center"/>
    </xf>
    <xf numFmtId="10" fontId="5" fillId="0" borderId="34" xfId="65" applyNumberFormat="1" applyFont="1" applyFill="1" applyBorder="1" applyAlignment="1">
      <alignment horizontal="right" vertical="center"/>
    </xf>
    <xf numFmtId="0" fontId="5" fillId="0" borderId="15" xfId="65" applyFont="1" applyBorder="1" applyAlignment="1">
      <alignment vertical="center"/>
    </xf>
    <xf numFmtId="0" fontId="5" fillId="0" borderId="16" xfId="65" applyFont="1" applyBorder="1" applyAlignment="1">
      <alignment vertical="center"/>
    </xf>
    <xf numFmtId="0" fontId="41" fillId="0" borderId="0" xfId="64" applyFont="1" applyAlignment="1">
      <alignment vertical="center"/>
    </xf>
    <xf numFmtId="188" fontId="5" fillId="0" borderId="34" xfId="65" applyNumberFormat="1" applyFont="1" applyFill="1" applyBorder="1" applyAlignment="1">
      <alignment horizontal="right" vertical="center"/>
    </xf>
    <xf numFmtId="188" fontId="5" fillId="0" borderId="15" xfId="65" applyNumberFormat="1" applyFont="1" applyBorder="1" applyAlignment="1"/>
    <xf numFmtId="188" fontId="5" fillId="0" borderId="16" xfId="65" applyNumberFormat="1" applyFont="1" applyBorder="1" applyAlignment="1"/>
    <xf numFmtId="188" fontId="5" fillId="0" borderId="15" xfId="65" applyNumberFormat="1" applyFont="1" applyBorder="1" applyAlignment="1">
      <alignment vertical="center"/>
    </xf>
    <xf numFmtId="188" fontId="5" fillId="0" borderId="16" xfId="65" applyNumberFormat="1" applyFont="1" applyBorder="1" applyAlignment="1">
      <alignment vertical="center"/>
    </xf>
    <xf numFmtId="10" fontId="5" fillId="26" borderId="22" xfId="64" applyNumberFormat="1" applyFont="1" applyFill="1" applyBorder="1" applyAlignment="1">
      <alignment horizontal="center" vertical="center" wrapText="1"/>
    </xf>
    <xf numFmtId="0" fontId="5" fillId="0" borderId="17" xfId="65" applyFont="1" applyBorder="1" applyAlignment="1">
      <alignment horizontal="center" vertical="center"/>
    </xf>
    <xf numFmtId="0" fontId="5" fillId="0" borderId="26" xfId="65" applyFont="1" applyBorder="1" applyAlignment="1">
      <alignment horizontal="center" vertical="center"/>
    </xf>
    <xf numFmtId="0" fontId="40" fillId="26" borderId="16" xfId="64" applyFont="1" applyFill="1" applyBorder="1" applyAlignment="1">
      <alignment vertical="center"/>
    </xf>
    <xf numFmtId="0" fontId="5" fillId="26" borderId="16" xfId="64" applyFont="1" applyFill="1" applyBorder="1" applyAlignment="1">
      <alignment vertical="center"/>
    </xf>
    <xf numFmtId="0" fontId="5" fillId="0" borderId="16" xfId="64" applyFont="1" applyBorder="1" applyAlignment="1">
      <alignment vertical="center"/>
    </xf>
    <xf numFmtId="0" fontId="40" fillId="26" borderId="22" xfId="64" applyFont="1" applyFill="1" applyBorder="1" applyAlignment="1">
      <alignment vertical="center"/>
    </xf>
    <xf numFmtId="0" fontId="41" fillId="26" borderId="17" xfId="64" applyFont="1" applyFill="1" applyBorder="1" applyAlignment="1">
      <alignment vertical="center"/>
    </xf>
    <xf numFmtId="0" fontId="41" fillId="0" borderId="17" xfId="65" applyFont="1" applyBorder="1" applyAlignment="1">
      <alignment vertical="center"/>
    </xf>
    <xf numFmtId="0" fontId="41" fillId="0" borderId="0" xfId="64" applyFont="1" applyBorder="1" applyAlignment="1">
      <alignment horizontal="left" vertical="center"/>
    </xf>
    <xf numFmtId="0" fontId="0" fillId="0" borderId="0" xfId="0" applyAlignment="1">
      <alignment vertical="center"/>
    </xf>
    <xf numFmtId="10" fontId="5" fillId="0" borderId="16" xfId="65" applyNumberFormat="1" applyFont="1" applyFill="1" applyBorder="1" applyAlignment="1">
      <alignment horizontal="right" vertical="center"/>
    </xf>
    <xf numFmtId="0" fontId="48" fillId="0" borderId="0" xfId="64" applyFont="1" applyAlignment="1">
      <alignment horizontal="left" vertical="center"/>
    </xf>
    <xf numFmtId="0" fontId="49" fillId="0" borderId="0" xfId="64" applyFont="1" applyAlignment="1">
      <alignment vertical="center"/>
    </xf>
    <xf numFmtId="0" fontId="41" fillId="0" borderId="22" xfId="64" applyFont="1" applyBorder="1" applyAlignment="1">
      <alignment vertical="center"/>
    </xf>
    <xf numFmtId="0" fontId="7" fillId="0" borderId="17" xfId="65" applyFont="1" applyBorder="1" applyAlignment="1"/>
    <xf numFmtId="0" fontId="7" fillId="0" borderId="13" xfId="65" applyFont="1" applyBorder="1" applyAlignment="1"/>
    <xf numFmtId="0" fontId="43" fillId="0" borderId="34" xfId="64" applyFont="1" applyBorder="1" applyAlignment="1">
      <alignment horizontal="center" vertical="center"/>
    </xf>
    <xf numFmtId="0" fontId="5" fillId="0" borderId="16" xfId="64" applyFont="1" applyBorder="1" applyAlignment="1">
      <alignment horizontal="center" vertical="center"/>
    </xf>
    <xf numFmtId="180" fontId="5" fillId="0" borderId="34" xfId="65" applyNumberFormat="1" applyFont="1" applyBorder="1" applyAlignment="1">
      <alignment horizontal="right" vertical="center"/>
    </xf>
    <xf numFmtId="180" fontId="5" fillId="0" borderId="16" xfId="65" applyNumberFormat="1" applyFont="1" applyBorder="1" applyAlignment="1">
      <alignment horizontal="right" vertical="center"/>
    </xf>
    <xf numFmtId="0" fontId="40" fillId="0" borderId="14" xfId="64" applyFont="1" applyBorder="1" applyAlignment="1">
      <alignment vertical="center" wrapText="1"/>
    </xf>
    <xf numFmtId="0" fontId="5" fillId="0" borderId="14" xfId="64" applyFont="1" applyBorder="1" applyAlignment="1">
      <alignment vertical="center" wrapText="1"/>
    </xf>
    <xf numFmtId="0" fontId="41" fillId="0" borderId="17" xfId="64" applyFont="1" applyBorder="1" applyAlignment="1">
      <alignment vertical="center"/>
    </xf>
    <xf numFmtId="0" fontId="5" fillId="0" borderId="17" xfId="64" applyFont="1" applyBorder="1" applyAlignment="1">
      <alignment vertical="center"/>
    </xf>
    <xf numFmtId="0" fontId="41" fillId="0" borderId="26" xfId="64" applyFont="1" applyBorder="1" applyAlignment="1">
      <alignment vertical="center"/>
    </xf>
    <xf numFmtId="0" fontId="5" fillId="0" borderId="14" xfId="64" applyFont="1" applyBorder="1" applyAlignment="1">
      <alignment vertical="center"/>
    </xf>
    <xf numFmtId="0" fontId="2" fillId="26" borderId="16" xfId="64" applyFill="1" applyBorder="1" applyAlignment="1">
      <alignment vertical="center"/>
    </xf>
    <xf numFmtId="0" fontId="2" fillId="0" borderId="16" xfId="64" applyFont="1" applyBorder="1" applyAlignment="1">
      <alignment vertical="center"/>
    </xf>
    <xf numFmtId="0" fontId="2" fillId="0" borderId="16" xfId="64" applyBorder="1" applyAlignment="1">
      <alignment vertical="center"/>
    </xf>
    <xf numFmtId="0" fontId="43" fillId="0" borderId="13" xfId="64" applyFont="1" applyBorder="1" applyAlignment="1">
      <alignment vertical="center"/>
    </xf>
    <xf numFmtId="0" fontId="40" fillId="0" borderId="22" xfId="64" applyFont="1" applyBorder="1" applyAlignment="1">
      <alignment vertical="center" wrapText="1"/>
    </xf>
    <xf numFmtId="0" fontId="5" fillId="0" borderId="22" xfId="64" applyFont="1" applyBorder="1" applyAlignment="1">
      <alignment vertical="center" wrapText="1"/>
    </xf>
    <xf numFmtId="0" fontId="40" fillId="26" borderId="14" xfId="64" applyFont="1" applyFill="1" applyBorder="1" applyAlignment="1">
      <alignment vertical="center"/>
    </xf>
    <xf numFmtId="0" fontId="41" fillId="26" borderId="14" xfId="64" applyFont="1" applyFill="1" applyBorder="1" applyAlignment="1">
      <alignment vertical="center"/>
    </xf>
    <xf numFmtId="0" fontId="40" fillId="26" borderId="96" xfId="64" applyFont="1" applyFill="1" applyBorder="1" applyAlignment="1">
      <alignment horizontal="left" vertical="center" wrapText="1"/>
    </xf>
    <xf numFmtId="0" fontId="0" fillId="0" borderId="97" xfId="0" applyBorder="1" applyAlignment="1">
      <alignment horizontal="left" vertical="center"/>
    </xf>
    <xf numFmtId="0" fontId="40" fillId="26" borderId="45" xfId="64" applyFont="1" applyFill="1" applyBorder="1" applyAlignment="1">
      <alignment vertical="center"/>
    </xf>
    <xf numFmtId="0" fontId="41" fillId="26" borderId="45" xfId="64" applyFont="1" applyFill="1" applyBorder="1" applyAlignment="1">
      <alignment vertical="center"/>
    </xf>
    <xf numFmtId="0" fontId="2" fillId="26" borderId="45" xfId="64" applyFill="1" applyBorder="1" applyAlignment="1">
      <alignment vertical="center"/>
    </xf>
    <xf numFmtId="0" fontId="40" fillId="26" borderId="46" xfId="64" applyFont="1" applyFill="1" applyBorder="1" applyAlignment="1">
      <alignment vertical="center"/>
    </xf>
    <xf numFmtId="0" fontId="41" fillId="26" borderId="46" xfId="64" applyFont="1" applyFill="1" applyBorder="1" applyAlignment="1">
      <alignment vertical="center"/>
    </xf>
    <xf numFmtId="0" fontId="40" fillId="26" borderId="96" xfId="64" applyFont="1" applyFill="1" applyBorder="1" applyAlignment="1">
      <alignment horizontal="center" vertical="center" wrapText="1"/>
    </xf>
    <xf numFmtId="0" fontId="2" fillId="0" borderId="98" xfId="0" applyFont="1" applyBorder="1" applyAlignment="1">
      <alignment horizontal="center" vertical="center"/>
    </xf>
    <xf numFmtId="0" fontId="2" fillId="26" borderId="45" xfId="64" applyFont="1" applyFill="1" applyBorder="1" applyAlignment="1">
      <alignment vertical="center"/>
    </xf>
    <xf numFmtId="0" fontId="2" fillId="0" borderId="22" xfId="64" applyFont="1" applyBorder="1" applyAlignment="1">
      <alignment vertical="center" wrapText="1"/>
    </xf>
    <xf numFmtId="0" fontId="40" fillId="26" borderId="44" xfId="64" applyFont="1" applyFill="1" applyBorder="1" applyAlignment="1">
      <alignment vertical="center"/>
    </xf>
    <xf numFmtId="0" fontId="40" fillId="26" borderId="98" xfId="64" applyFont="1" applyFill="1" applyBorder="1" applyAlignment="1">
      <alignment vertical="center"/>
    </xf>
    <xf numFmtId="0" fontId="40" fillId="26" borderId="97" xfId="64" applyFont="1" applyFill="1" applyBorder="1" applyAlignment="1">
      <alignment vertical="center"/>
    </xf>
    <xf numFmtId="0" fontId="40" fillId="26" borderId="97" xfId="64" applyFont="1" applyFill="1" applyBorder="1" applyAlignment="1">
      <alignment horizontal="left" vertical="center" wrapText="1"/>
    </xf>
    <xf numFmtId="0" fontId="2" fillId="0" borderId="22" xfId="64" applyBorder="1" applyAlignment="1">
      <alignment vertical="center" wrapText="1"/>
    </xf>
    <xf numFmtId="0" fontId="0" fillId="0" borderId="97" xfId="0" applyBorder="1" applyAlignment="1">
      <alignment horizontal="center" vertical="center"/>
    </xf>
    <xf numFmtId="188" fontId="41" fillId="0" borderId="34" xfId="0" applyNumberFormat="1" applyFont="1" applyFill="1" applyBorder="1" applyAlignment="1">
      <alignment vertical="center"/>
    </xf>
    <xf numFmtId="188" fontId="41" fillId="0" borderId="15" xfId="0" applyNumberFormat="1" applyFont="1" applyFill="1" applyBorder="1" applyAlignment="1">
      <alignment vertical="center"/>
    </xf>
    <xf numFmtId="188" fontId="41" fillId="0" borderId="16" xfId="0" applyNumberFormat="1" applyFont="1" applyFill="1" applyBorder="1" applyAlignment="1">
      <alignment vertical="center"/>
    </xf>
    <xf numFmtId="10" fontId="40" fillId="0" borderId="34" xfId="0" applyNumberFormat="1" applyFont="1" applyBorder="1" applyAlignment="1">
      <alignment horizontal="center" vertical="center"/>
    </xf>
    <xf numFmtId="10" fontId="40" fillId="0" borderId="15" xfId="0" applyNumberFormat="1" applyFont="1" applyBorder="1" applyAlignment="1">
      <alignment horizontal="center" vertical="center"/>
    </xf>
    <xf numFmtId="10" fontId="40" fillId="0" borderId="16" xfId="0" applyNumberFormat="1" applyFont="1" applyBorder="1" applyAlignment="1">
      <alignment horizontal="center" vertical="center"/>
    </xf>
    <xf numFmtId="0" fontId="40" fillId="0" borderId="34" xfId="0" applyFont="1" applyFill="1" applyBorder="1" applyAlignment="1">
      <alignment horizontal="left" vertical="center" wrapText="1"/>
    </xf>
    <xf numFmtId="0" fontId="0" fillId="0" borderId="15" xfId="0" applyFont="1" applyBorder="1" applyAlignment="1">
      <alignment horizontal="left" vertical="center" wrapText="1"/>
    </xf>
    <xf numFmtId="0" fontId="0" fillId="0" borderId="16" xfId="0" applyBorder="1" applyAlignment="1">
      <alignment horizontal="left" vertical="center" wrapText="1"/>
    </xf>
    <xf numFmtId="0" fontId="40" fillId="0" borderId="34" xfId="0" applyFont="1" applyBorder="1" applyAlignment="1">
      <alignment horizontal="center" vertical="center" wrapText="1"/>
    </xf>
    <xf numFmtId="0" fontId="41" fillId="0" borderId="16" xfId="0" applyFont="1" applyBorder="1" applyAlignment="1">
      <alignment horizontal="center" vertical="center" wrapText="1"/>
    </xf>
    <xf numFmtId="0" fontId="40" fillId="0" borderId="14" xfId="0" applyFont="1" applyBorder="1" applyAlignment="1">
      <alignment horizontal="center" vertical="center" wrapText="1"/>
    </xf>
    <xf numFmtId="0" fontId="41" fillId="0" borderId="14" xfId="0" applyFont="1" applyBorder="1" applyAlignment="1">
      <alignment horizontal="center" vertical="center" wrapText="1"/>
    </xf>
    <xf numFmtId="0" fontId="88" fillId="0" borderId="16" xfId="0" applyFont="1" applyBorder="1" applyAlignment="1">
      <alignment horizontal="center" vertical="center" wrapText="1"/>
    </xf>
    <xf numFmtId="0" fontId="40" fillId="0" borderId="0" xfId="0" applyFont="1" applyAlignment="1">
      <alignment vertical="center"/>
    </xf>
    <xf numFmtId="0" fontId="40" fillId="0" borderId="34" xfId="0" applyFont="1" applyBorder="1" applyAlignment="1">
      <alignment horizontal="center" vertical="center"/>
    </xf>
    <xf numFmtId="0" fontId="41" fillId="0" borderId="16" xfId="0" applyFont="1" applyBorder="1" applyAlignment="1">
      <alignment horizontal="center" vertical="center"/>
    </xf>
    <xf numFmtId="0" fontId="0" fillId="0" borderId="16" xfId="0" applyBorder="1" applyAlignment="1">
      <alignment horizontal="center" vertical="center" wrapText="1"/>
    </xf>
    <xf numFmtId="0" fontId="0" fillId="0" borderId="15" xfId="0" applyBorder="1" applyAlignment="1">
      <alignment horizontal="left" vertical="center" wrapText="1"/>
    </xf>
    <xf numFmtId="0" fontId="70" fillId="0" borderId="14" xfId="0" applyFont="1" applyBorder="1" applyAlignment="1">
      <alignment horizontal="center" vertical="top" wrapText="1"/>
    </xf>
    <xf numFmtId="3" fontId="70" fillId="0" borderId="14" xfId="0" applyNumberFormat="1" applyFont="1" applyBorder="1" applyAlignment="1">
      <alignment horizontal="right" vertical="top" wrapText="1"/>
    </xf>
    <xf numFmtId="0" fontId="70" fillId="0" borderId="14" xfId="0" applyFont="1" applyBorder="1" applyAlignment="1">
      <alignment horizontal="right" vertical="top" wrapText="1"/>
    </xf>
    <xf numFmtId="0" fontId="85" fillId="0" borderId="0" xfId="0" applyFont="1" applyBorder="1" applyAlignment="1">
      <alignment horizontal="justify" vertical="center"/>
    </xf>
    <xf numFmtId="0" fontId="77" fillId="0" borderId="0" xfId="0" applyFont="1" applyBorder="1" applyAlignment="1">
      <alignment vertical="center"/>
    </xf>
    <xf numFmtId="0" fontId="70" fillId="0" borderId="13" xfId="0" applyFont="1" applyBorder="1" applyAlignment="1">
      <alignment horizontal="justify" vertical="center"/>
    </xf>
    <xf numFmtId="0" fontId="108" fillId="0" borderId="13" xfId="0" applyFont="1" applyBorder="1" applyAlignment="1">
      <alignment vertical="center"/>
    </xf>
    <xf numFmtId="0" fontId="70" fillId="0" borderId="14" xfId="0" applyFont="1" applyBorder="1" applyAlignment="1">
      <alignment horizontal="center" vertical="center" wrapText="1"/>
    </xf>
    <xf numFmtId="0" fontId="70" fillId="0" borderId="22" xfId="0" applyFont="1" applyBorder="1" applyAlignment="1">
      <alignment horizontal="center" vertical="center" wrapText="1"/>
    </xf>
    <xf numFmtId="0" fontId="70" fillId="0" borderId="26" xfId="0" applyFont="1" applyBorder="1" applyAlignment="1">
      <alignment horizontal="center" vertical="center" wrapText="1"/>
    </xf>
    <xf numFmtId="0" fontId="70" fillId="0" borderId="17" xfId="0" applyFont="1" applyBorder="1" applyAlignment="1">
      <alignment horizontal="center" vertical="center" wrapText="1"/>
    </xf>
    <xf numFmtId="0" fontId="70" fillId="0" borderId="34" xfId="0" applyFont="1" applyBorder="1" applyAlignment="1">
      <alignment horizontal="center" vertical="center" wrapText="1"/>
    </xf>
    <xf numFmtId="0" fontId="0" fillId="0" borderId="15" xfId="0" applyBorder="1" applyAlignment="1">
      <alignment vertical="center" wrapText="1"/>
    </xf>
    <xf numFmtId="0" fontId="0" fillId="0" borderId="16" xfId="0" applyBorder="1" applyAlignment="1">
      <alignment vertical="center" wrapText="1"/>
    </xf>
    <xf numFmtId="0" fontId="0" fillId="0" borderId="17" xfId="0" applyFont="1" applyBorder="1" applyAlignment="1">
      <alignment vertical="center" wrapText="1"/>
    </xf>
    <xf numFmtId="0" fontId="0" fillId="0" borderId="26" xfId="0" applyFont="1" applyBorder="1" applyAlignment="1">
      <alignment vertical="center" wrapText="1"/>
    </xf>
    <xf numFmtId="3" fontId="70" fillId="0" borderId="14" xfId="0" applyNumberFormat="1" applyFont="1" applyBorder="1" applyAlignment="1">
      <alignment horizontal="right" vertical="center" wrapText="1"/>
    </xf>
    <xf numFmtId="0" fontId="0" fillId="0" borderId="14" xfId="0" applyBorder="1" applyAlignment="1">
      <alignment horizontal="right" vertical="center" wrapText="1"/>
    </xf>
    <xf numFmtId="0" fontId="43" fillId="0" borderId="14" xfId="0" applyFont="1" applyBorder="1" applyAlignment="1">
      <alignment horizontal="center" vertical="center"/>
    </xf>
    <xf numFmtId="0" fontId="4" fillId="0" borderId="13" xfId="0" applyFont="1" applyBorder="1" applyAlignment="1">
      <alignment horizontal="left" vertical="center"/>
    </xf>
    <xf numFmtId="0" fontId="43" fillId="0" borderId="14" xfId="0" applyFont="1" applyBorder="1" applyAlignment="1">
      <alignment horizontal="center" vertical="center" wrapText="1"/>
    </xf>
    <xf numFmtId="0" fontId="2" fillId="0" borderId="13" xfId="0" applyFont="1" applyBorder="1" applyAlignment="1">
      <alignment horizontal="right" vertical="center"/>
    </xf>
  </cellXfs>
  <cellStyles count="95">
    <cellStyle name="20% - Accent1" xfId="1" xr:uid="{06C783F3-DC21-4E7C-8099-8C14809AB3B2}"/>
    <cellStyle name="20% - Accent2" xfId="2" xr:uid="{9E75858E-DEB6-4D32-B3C1-E7DDDF9303A5}"/>
    <cellStyle name="20% - Accent3" xfId="3" xr:uid="{37871E71-7AEA-4251-A400-3851C7243573}"/>
    <cellStyle name="20% - Accent4" xfId="4" xr:uid="{73B0207E-19A3-4C75-9205-8E4CDB28F3B0}"/>
    <cellStyle name="20% - Accent5" xfId="5" xr:uid="{2F9F3DEE-BC42-4E83-8F2A-0294E45EF319}"/>
    <cellStyle name="20% - Accent6" xfId="6" xr:uid="{76E9E171-BF52-4573-870B-61D11D284FEB}"/>
    <cellStyle name="20% - 輔色1" xfId="7" builtinId="30" customBuiltin="1"/>
    <cellStyle name="20% - 輔色2" xfId="8" builtinId="34" customBuiltin="1"/>
    <cellStyle name="20% - 輔色3" xfId="9" builtinId="38" customBuiltin="1"/>
    <cellStyle name="20% - 輔色4" xfId="10" builtinId="42" customBuiltin="1"/>
    <cellStyle name="20% - 輔色5" xfId="11" builtinId="46" customBuiltin="1"/>
    <cellStyle name="20% - 輔色6" xfId="12" builtinId="50" customBuiltin="1"/>
    <cellStyle name="40% - Accent1" xfId="13" xr:uid="{1ECC8C15-8652-4237-91AE-E591DEFA64F9}"/>
    <cellStyle name="40% - Accent2" xfId="14" xr:uid="{3353D2DB-5A8D-4377-B954-29077D5B73E9}"/>
    <cellStyle name="40% - Accent3" xfId="15" xr:uid="{312EB8C2-5085-4DD6-ADCA-1182E7C3E48F}"/>
    <cellStyle name="40% - Accent4" xfId="16" xr:uid="{C76110B4-C27E-4050-8799-A9177A6FB400}"/>
    <cellStyle name="40% - Accent5" xfId="17" xr:uid="{5193FF0B-8F64-4E10-BAD2-3E2F66B7C6F1}"/>
    <cellStyle name="40% - Accent6" xfId="18" xr:uid="{320B1701-74C0-48AC-84D5-95E0A4F6F967}"/>
    <cellStyle name="40% - 輔色1" xfId="19" builtinId="31" customBuiltin="1"/>
    <cellStyle name="40% - 輔色2" xfId="20" builtinId="35" customBuiltin="1"/>
    <cellStyle name="40% - 輔色3" xfId="21" builtinId="39" customBuiltin="1"/>
    <cellStyle name="40% - 輔色4" xfId="22" builtinId="43" customBuiltin="1"/>
    <cellStyle name="40% - 輔色5" xfId="23" builtinId="47" customBuiltin="1"/>
    <cellStyle name="40% - 輔色6" xfId="24" builtinId="51" customBuiltin="1"/>
    <cellStyle name="60% - Accent1" xfId="25" xr:uid="{93DE2744-A0B3-43F5-A129-8625489DDD9E}"/>
    <cellStyle name="60% - Accent2" xfId="26" xr:uid="{26EE7733-6A75-406F-9C80-A1A84E9BB843}"/>
    <cellStyle name="60% - Accent3" xfId="27" xr:uid="{77DA82E1-5900-4033-B5F3-972D7452D16C}"/>
    <cellStyle name="60% - Accent4" xfId="28" xr:uid="{A9D38C8F-A017-4A7B-889E-BD109DB2C331}"/>
    <cellStyle name="60% - Accent5" xfId="29" xr:uid="{8B74F216-6A37-4724-BC02-8647A607D40E}"/>
    <cellStyle name="60% - Accent6" xfId="30" xr:uid="{18762A87-5A0F-4C58-9394-C2583B28A004}"/>
    <cellStyle name="60% - 輔色1" xfId="31" builtinId="32" customBuiltin="1"/>
    <cellStyle name="60% - 輔色2" xfId="32" builtinId="36" customBuiltin="1"/>
    <cellStyle name="60% - 輔色3" xfId="33" builtinId="40" customBuiltin="1"/>
    <cellStyle name="60% - 輔色4" xfId="34" builtinId="44" customBuiltin="1"/>
    <cellStyle name="60% - 輔色5" xfId="35" builtinId="48" customBuiltin="1"/>
    <cellStyle name="60% - 輔色6" xfId="36" builtinId="52" customBuiltin="1"/>
    <cellStyle name="Accent1" xfId="37" xr:uid="{523D1FAF-8240-4132-9195-980EF58C9957}"/>
    <cellStyle name="Accent2" xfId="38" xr:uid="{3FFEFB32-EB9B-4E37-99EE-C19A729909C8}"/>
    <cellStyle name="Accent3" xfId="39" xr:uid="{16A122D4-1AD4-4EFB-97E8-91C92FF984DA}"/>
    <cellStyle name="Accent4" xfId="40" xr:uid="{5A0DDA70-5861-4CB7-A535-C40D01B6D19D}"/>
    <cellStyle name="Accent5" xfId="41" xr:uid="{AC1E998A-C858-4245-A2D3-861AA35E9985}"/>
    <cellStyle name="Accent6" xfId="42" xr:uid="{F610BA59-9E6C-42EF-A7B9-06EC66E67E27}"/>
    <cellStyle name="Bad" xfId="43" xr:uid="{22C46D38-3A58-4F6E-A347-F59DF4A4A620}"/>
    <cellStyle name="Calculation" xfId="44" xr:uid="{207AF726-7422-41E1-B4B2-ECD3C8393EFF}"/>
    <cellStyle name="Check Cell" xfId="45" xr:uid="{FE8DA837-30D7-430C-B42A-522DCA80DA1A}"/>
    <cellStyle name="Explanatory Text" xfId="46" xr:uid="{31FDA62C-9EA0-4FF2-A61F-070A1BD8221D}"/>
    <cellStyle name="Good" xfId="47" xr:uid="{B64EB3F8-E250-4218-9385-2365B8B65A99}"/>
    <cellStyle name="Heading 1" xfId="48" xr:uid="{36CDED2A-A4C4-4F4E-A0D3-F342AC9F57A6}"/>
    <cellStyle name="Heading 2" xfId="49" xr:uid="{E05960FA-6BE4-46CE-82B2-C2A5C85231E5}"/>
    <cellStyle name="Heading 3" xfId="50" xr:uid="{9B603CFE-572B-4D91-90BB-8609EBFEF4BE}"/>
    <cellStyle name="Heading 4" xfId="51" xr:uid="{ED747901-777F-45EC-8EC9-B77BC6E3EDE2}"/>
    <cellStyle name="Input" xfId="52" xr:uid="{C1E9A3CA-A86E-43C0-A46D-4584BC1CC17C}"/>
    <cellStyle name="Linked Cell" xfId="53" xr:uid="{1213EEEA-3530-4C4C-AF74-E9E4D9D08C2D}"/>
    <cellStyle name="Neutral" xfId="54" xr:uid="{A189ED39-A6B5-479F-8A7C-A2263D3D1DF9}"/>
    <cellStyle name="Note" xfId="55" xr:uid="{85D40E4B-FB37-4BEC-B541-9B9B30C9A8CD}"/>
    <cellStyle name="Output" xfId="56" xr:uid="{EA787C6F-39C6-4E0A-BC98-53289F7B77ED}"/>
    <cellStyle name="Title" xfId="57" xr:uid="{474E74AA-7324-4FC5-976B-3E56A89A1906}"/>
    <cellStyle name="Total" xfId="58" xr:uid="{DAA0906E-FF63-4558-BB39-DDA1FCE04E4E}"/>
    <cellStyle name="Warning Text" xfId="59" xr:uid="{4E62FBA6-8053-4028-80F4-CB42C82E8AEA}"/>
    <cellStyle name="一般" xfId="0" builtinId="0"/>
    <cellStyle name="一般_101年版手冊書表(徵收)" xfId="60" xr:uid="{B50061A0-C903-47F5-B036-8B513F4E2F26}"/>
    <cellStyle name="一般_比準地 " xfId="61" xr:uid="{5DED6B56-D9EB-497C-B952-B5C5D031728B}"/>
    <cellStyle name="一般_比準地 _1030929作業表格修" xfId="62" xr:uid="{FDE91E66-FC59-429C-9C89-79F83C5A822B}"/>
    <cellStyle name="一般_比較法調整表(空白)" xfId="63" xr:uid="{AF3005E3-B86D-4346-81D2-725A4A92A6B1}"/>
    <cellStyle name="一般_表格含例1010626" xfId="64" xr:uid="{0229B919-6D1D-4603-8020-E521B62B6485}"/>
    <cellStyle name="一般_幅度試算(手冊)" xfId="65" xr:uid="{239D9B4A-6627-4AD3-AB7C-EA44E2360913}"/>
    <cellStyle name="千分位" xfId="66" builtinId="3"/>
    <cellStyle name="中等" xfId="67" builtinId="28" customBuiltin="1"/>
    <cellStyle name="合計" xfId="68" builtinId="25" customBuiltin="1"/>
    <cellStyle name="好" xfId="69" builtinId="26" customBuiltin="1"/>
    <cellStyle name="好_表格含例0711" xfId="70" xr:uid="{CD2DAC6E-4FB0-4027-83E9-5FB72D6FDB41}"/>
    <cellStyle name="好_表格含例1010626" xfId="71" xr:uid="{B7455BD1-8CD2-4C06-AAB6-1D45E036F84F}"/>
    <cellStyle name="好_試算(地調TEST版)" xfId="72" xr:uid="{314A9912-3786-483E-802B-E78D1D696EFE}"/>
    <cellStyle name="好_試算(地調版)" xfId="73" xr:uid="{061D108E-0B4D-4A54-AB3F-B23EFBF977D0}"/>
    <cellStyle name="百分比" xfId="74" builtinId="5"/>
    <cellStyle name="計算方式" xfId="75" builtinId="22" customBuiltin="1"/>
    <cellStyle name="連結的儲存格" xfId="76" builtinId="24" customBuiltin="1"/>
    <cellStyle name="備註" xfId="77" builtinId="10" customBuiltin="1"/>
    <cellStyle name="說明文字" xfId="78" builtinId="53" customBuiltin="1"/>
    <cellStyle name="輔色1" xfId="79" builtinId="29" customBuiltin="1"/>
    <cellStyle name="輔色2" xfId="80" builtinId="33" customBuiltin="1"/>
    <cellStyle name="輔色3" xfId="81" builtinId="37" customBuiltin="1"/>
    <cellStyle name="輔色4" xfId="82" builtinId="41" customBuiltin="1"/>
    <cellStyle name="輔色5" xfId="83" builtinId="45" customBuiltin="1"/>
    <cellStyle name="輔色6" xfId="84" builtinId="49" customBuiltin="1"/>
    <cellStyle name="標題" xfId="85" builtinId="15" customBuiltin="1"/>
    <cellStyle name="標題 1" xfId="86" builtinId="16" customBuiltin="1"/>
    <cellStyle name="標題 2" xfId="87" builtinId="17" customBuiltin="1"/>
    <cellStyle name="標題 3" xfId="88" builtinId="18" customBuiltin="1"/>
    <cellStyle name="標題 4" xfId="89" builtinId="19" customBuiltin="1"/>
    <cellStyle name="輸入" xfId="90" builtinId="20" customBuiltin="1"/>
    <cellStyle name="輸出" xfId="91" builtinId="21" customBuiltin="1"/>
    <cellStyle name="檢查儲存格" xfId="92" builtinId="23" customBuiltin="1"/>
    <cellStyle name="壞" xfId="93" builtinId="27" customBuiltin="1"/>
    <cellStyle name="警告文字" xfId="9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419100</xdr:colOff>
      <xdr:row>17</xdr:row>
      <xdr:rowOff>0</xdr:rowOff>
    </xdr:from>
    <xdr:to>
      <xdr:col>6</xdr:col>
      <xdr:colOff>457200</xdr:colOff>
      <xdr:row>30</xdr:row>
      <xdr:rowOff>171450</xdr:rowOff>
    </xdr:to>
    <xdr:pic>
      <xdr:nvPicPr>
        <xdr:cNvPr id="67671" name="Picture 5">
          <a:extLst>
            <a:ext uri="{FF2B5EF4-FFF2-40B4-BE49-F238E27FC236}">
              <a16:creationId xmlns:a16="http://schemas.microsoft.com/office/drawing/2014/main" id="{AD6FADD1-506E-199E-E3A6-4ABFBFD274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2075" y="3600450"/>
          <a:ext cx="4152900"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7Filer\2026\Documents%20and%20Settings\moi1396\Local%20Settings\Temporary%20Internet%20Files\Content.IE5\256LSRUL\Users\user\Desktop\101&#22320;&#20729;&#35611;&#32722;\101&#24180;&#29256;&#25163;&#20874;&#26360;&#34920;(&#24501;&#259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7Filer\2026\Documents%20and%20Settings\moi1396\Local%20Settings\Temporary%20Internet%20Files\Content.IE5\256LSRUL\Users\user\Desktop\101&#22320;&#20729;&#35611;&#32722;\Documents%20and%20Settings\moi1396\&#26700;&#38754;\&#22303;&#24501;&#20462;&#27491;\100-101&#24066;&#20729;&#26597;&#20272;&#36774;&#27861;&#33609;&#26696;\&#25552;&#27861;&#35215;&#23529;&#26597;\&#38468;&#20214;2&#27604;&#28310;&#22320;&#20491;&#21029;&#22240;&#32032;&#28165;&#20874;&#21450;&#24066;&#20729;&#20272;&#35336;&#34920;&#2036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報告"/>
      <sheetName val="比較"/>
      <sheetName val="1房地拆分-土地"/>
      <sheetName val="2房地拆分-建物"/>
      <sheetName val="3房地拆分-建物"/>
      <sheetName val="成本"/>
      <sheetName val="收益"/>
      <sheetName val="土開"/>
      <sheetName val="附-營造"/>
    </sheetNames>
    <sheetDataSet>
      <sheetData sheetId="0" refreshError="1"/>
      <sheetData sheetId="1" refreshError="1">
        <row r="5">
          <cell r="G5" t="str">
            <v>台北市中山區XX段X小段XXX地號</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附件2各式書表"/>
      <sheetName val="2-1比準地市價估計表格式"/>
      <sheetName val="2-2宗地市價估計表格式"/>
      <sheetName val="2-3個別因素清冊格式"/>
      <sheetName val="2-3個別因素清冊填表說明"/>
      <sheetName val="2-4宗地市價評議表"/>
      <sheetName val="2-5宗地市價清冊"/>
      <sheetName val="2-6市價變動幅度評議表"/>
      <sheetName val="2-7市價變動幅度表"/>
      <sheetName val="Sheet1"/>
    </sheetNames>
    <sheetDataSet>
      <sheetData sheetId="0"/>
      <sheetData sheetId="1"/>
      <sheetData sheetId="2"/>
      <sheetData sheetId="3">
        <row r="2">
          <cell r="A2" t="str">
            <v>興辦事業計畫名稱：</v>
          </cell>
        </row>
      </sheetData>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7F8EF-7811-4EAC-BB38-CF859A1C4ED9}">
  <sheetPr>
    <pageSetUpPr fitToPage="1"/>
  </sheetPr>
  <dimension ref="A1:R36"/>
  <sheetViews>
    <sheetView workbookViewId="0">
      <selection activeCell="O2" sqref="O2:Q2"/>
    </sheetView>
  </sheetViews>
  <sheetFormatPr defaultRowHeight="15.75"/>
  <cols>
    <col min="1" max="1" width="6.125" style="8" customWidth="1"/>
    <col min="2" max="2" width="4.125" style="8" customWidth="1"/>
    <col min="3" max="3" width="23.5" style="8" customWidth="1"/>
    <col min="4" max="17" width="8" style="120" customWidth="1"/>
    <col min="18" max="16384" width="9" style="8"/>
  </cols>
  <sheetData>
    <row r="1" spans="1:17" ht="18.75" customHeight="1">
      <c r="A1" s="471" t="s">
        <v>449</v>
      </c>
      <c r="B1" s="472"/>
      <c r="C1" s="472"/>
      <c r="D1" s="472"/>
      <c r="E1" s="472"/>
      <c r="F1" s="472"/>
      <c r="G1" s="472"/>
      <c r="H1" s="472"/>
      <c r="I1" s="472"/>
      <c r="J1" s="472"/>
      <c r="K1" s="472"/>
      <c r="L1" s="472"/>
      <c r="M1" s="472"/>
      <c r="N1" s="472"/>
      <c r="O1" s="473"/>
      <c r="P1" s="473"/>
      <c r="Q1" s="474"/>
    </row>
    <row r="2" spans="1:17" ht="19.5" customHeight="1">
      <c r="A2" s="475" t="s">
        <v>727</v>
      </c>
      <c r="B2" s="476"/>
      <c r="C2" s="476"/>
      <c r="D2" s="476"/>
      <c r="E2" s="476"/>
      <c r="F2" s="476"/>
      <c r="G2" s="476"/>
      <c r="H2" s="477"/>
      <c r="I2" s="477"/>
      <c r="J2" s="477"/>
      <c r="K2" s="477"/>
      <c r="L2" s="477"/>
      <c r="M2" s="477"/>
      <c r="N2" s="29" t="s">
        <v>285</v>
      </c>
      <c r="O2" s="476" t="s">
        <v>561</v>
      </c>
      <c r="P2" s="481"/>
      <c r="Q2" s="482"/>
    </row>
    <row r="3" spans="1:17" ht="15" customHeight="1">
      <c r="A3" s="480" t="s">
        <v>286</v>
      </c>
      <c r="B3" s="480"/>
      <c r="C3" s="184" t="s">
        <v>287</v>
      </c>
      <c r="D3" s="115" t="s">
        <v>719</v>
      </c>
      <c r="E3" s="115" t="s">
        <v>720</v>
      </c>
      <c r="F3" s="115" t="s">
        <v>402</v>
      </c>
      <c r="G3" s="115" t="s">
        <v>403</v>
      </c>
      <c r="H3" s="115" t="s">
        <v>404</v>
      </c>
      <c r="I3" s="115" t="s">
        <v>405</v>
      </c>
      <c r="J3" s="115" t="s">
        <v>721</v>
      </c>
      <c r="K3" s="115" t="s">
        <v>722</v>
      </c>
      <c r="L3" s="115" t="s">
        <v>723</v>
      </c>
      <c r="M3" s="115" t="s">
        <v>724</v>
      </c>
      <c r="N3" s="115" t="s">
        <v>436</v>
      </c>
      <c r="O3" s="115" t="s">
        <v>437</v>
      </c>
      <c r="P3" s="115" t="s">
        <v>417</v>
      </c>
      <c r="Q3" s="115" t="s">
        <v>418</v>
      </c>
    </row>
    <row r="4" spans="1:17" ht="15" customHeight="1">
      <c r="A4" s="480"/>
      <c r="B4" s="480"/>
      <c r="C4" s="184" t="s">
        <v>288</v>
      </c>
      <c r="D4" s="207" t="s">
        <v>460</v>
      </c>
      <c r="E4" s="207" t="s">
        <v>460</v>
      </c>
      <c r="F4" s="207" t="s">
        <v>460</v>
      </c>
      <c r="G4" s="207" t="s">
        <v>460</v>
      </c>
      <c r="H4" s="207" t="s">
        <v>460</v>
      </c>
      <c r="I4" s="207" t="s">
        <v>460</v>
      </c>
      <c r="J4" s="207" t="s">
        <v>460</v>
      </c>
      <c r="K4" s="207" t="s">
        <v>460</v>
      </c>
      <c r="L4" s="207" t="s">
        <v>460</v>
      </c>
      <c r="M4" s="207" t="s">
        <v>460</v>
      </c>
      <c r="N4" s="207" t="s">
        <v>460</v>
      </c>
      <c r="O4" s="207" t="s">
        <v>460</v>
      </c>
      <c r="P4" s="207" t="s">
        <v>460</v>
      </c>
      <c r="Q4" s="207" t="s">
        <v>460</v>
      </c>
    </row>
    <row r="5" spans="1:17" ht="35.25" customHeight="1">
      <c r="A5" s="480"/>
      <c r="B5" s="480"/>
      <c r="C5" s="184" t="s">
        <v>290</v>
      </c>
      <c r="D5" s="208" t="s">
        <v>291</v>
      </c>
      <c r="E5" s="208" t="s">
        <v>291</v>
      </c>
      <c r="F5" s="208" t="s">
        <v>291</v>
      </c>
      <c r="G5" s="208" t="s">
        <v>291</v>
      </c>
      <c r="H5" s="208" t="s">
        <v>291</v>
      </c>
      <c r="I5" s="208" t="s">
        <v>291</v>
      </c>
      <c r="J5" s="208" t="s">
        <v>291</v>
      </c>
      <c r="K5" s="208" t="s">
        <v>291</v>
      </c>
      <c r="L5" s="208" t="s">
        <v>291</v>
      </c>
      <c r="M5" s="208" t="s">
        <v>291</v>
      </c>
      <c r="N5" s="208" t="s">
        <v>291</v>
      </c>
      <c r="O5" s="208" t="s">
        <v>291</v>
      </c>
      <c r="P5" s="208" t="s">
        <v>291</v>
      </c>
      <c r="Q5" s="208" t="s">
        <v>291</v>
      </c>
    </row>
    <row r="6" spans="1:17" ht="15" customHeight="1">
      <c r="A6" s="480"/>
      <c r="B6" s="480"/>
      <c r="C6" s="184" t="s">
        <v>292</v>
      </c>
      <c r="D6" s="115">
        <v>30</v>
      </c>
      <c r="E6" s="115" t="s">
        <v>293</v>
      </c>
      <c r="F6" s="115">
        <v>31</v>
      </c>
      <c r="G6" s="115" t="s">
        <v>294</v>
      </c>
      <c r="H6" s="115" t="s">
        <v>295</v>
      </c>
      <c r="I6" s="115" t="s">
        <v>296</v>
      </c>
      <c r="J6" s="115" t="s">
        <v>297</v>
      </c>
      <c r="K6" s="115" t="s">
        <v>298</v>
      </c>
      <c r="L6" s="115" t="s">
        <v>299</v>
      </c>
      <c r="M6" s="115" t="s">
        <v>439</v>
      </c>
      <c r="N6" s="115" t="s">
        <v>90</v>
      </c>
      <c r="O6" s="115" t="s">
        <v>435</v>
      </c>
      <c r="P6" s="115" t="s">
        <v>433</v>
      </c>
      <c r="Q6" s="115" t="s">
        <v>434</v>
      </c>
    </row>
    <row r="7" spans="1:17" ht="15" customHeight="1">
      <c r="A7" s="480"/>
      <c r="B7" s="480"/>
      <c r="C7" s="185" t="s">
        <v>438</v>
      </c>
      <c r="D7" s="399" t="s">
        <v>440</v>
      </c>
      <c r="E7" s="399" t="s">
        <v>441</v>
      </c>
      <c r="F7" s="399" t="s">
        <v>441</v>
      </c>
      <c r="G7" s="399" t="s">
        <v>441</v>
      </c>
      <c r="H7" s="399" t="s">
        <v>441</v>
      </c>
      <c r="I7" s="399" t="s">
        <v>441</v>
      </c>
      <c r="J7" s="399" t="s">
        <v>441</v>
      </c>
      <c r="K7" s="399" t="s">
        <v>442</v>
      </c>
      <c r="L7" s="399" t="s">
        <v>440</v>
      </c>
      <c r="M7" s="399" t="s">
        <v>443</v>
      </c>
      <c r="N7" s="399" t="s">
        <v>443</v>
      </c>
      <c r="O7" s="399" t="s">
        <v>443</v>
      </c>
      <c r="P7" s="399" t="s">
        <v>442</v>
      </c>
      <c r="Q7" s="399" t="s">
        <v>442</v>
      </c>
    </row>
    <row r="8" spans="1:17" ht="15" customHeight="1">
      <c r="A8" s="479" t="s">
        <v>300</v>
      </c>
      <c r="B8" s="186">
        <v>7</v>
      </c>
      <c r="C8" s="184" t="s">
        <v>301</v>
      </c>
      <c r="D8" s="204">
        <v>878</v>
      </c>
      <c r="E8" s="204">
        <f>SUM(F8:I8)</f>
        <v>530</v>
      </c>
      <c r="F8" s="204">
        <v>210</v>
      </c>
      <c r="G8" s="204">
        <v>120</v>
      </c>
      <c r="H8" s="204">
        <v>110</v>
      </c>
      <c r="I8" s="204">
        <v>90</v>
      </c>
      <c r="J8" s="204">
        <v>4456</v>
      </c>
      <c r="K8" s="204">
        <v>850</v>
      </c>
      <c r="L8" s="204">
        <v>330</v>
      </c>
      <c r="M8" s="204">
        <v>952</v>
      </c>
      <c r="N8" s="205">
        <v>609</v>
      </c>
      <c r="O8" s="205">
        <v>343</v>
      </c>
      <c r="P8" s="204">
        <v>363</v>
      </c>
      <c r="Q8" s="206">
        <v>360</v>
      </c>
    </row>
    <row r="9" spans="1:17" ht="15" customHeight="1">
      <c r="A9" s="479"/>
      <c r="B9" s="186">
        <v>8</v>
      </c>
      <c r="C9" s="184" t="s">
        <v>709</v>
      </c>
      <c r="D9" s="432">
        <v>15</v>
      </c>
      <c r="E9" s="432">
        <v>22</v>
      </c>
      <c r="F9" s="433"/>
      <c r="G9" s="205"/>
      <c r="H9" s="205"/>
      <c r="I9" s="205"/>
      <c r="J9" s="204">
        <v>57</v>
      </c>
      <c r="K9" s="204">
        <v>60</v>
      </c>
      <c r="L9" s="204">
        <v>15</v>
      </c>
      <c r="M9" s="204">
        <v>33</v>
      </c>
      <c r="N9" s="206"/>
      <c r="O9" s="206"/>
      <c r="P9" s="204">
        <v>30</v>
      </c>
      <c r="Q9" s="206">
        <v>30</v>
      </c>
    </row>
    <row r="10" spans="1:17" ht="15" customHeight="1">
      <c r="A10" s="479"/>
      <c r="B10" s="186">
        <v>9</v>
      </c>
      <c r="C10" s="184" t="s">
        <v>303</v>
      </c>
      <c r="D10" s="204">
        <v>59</v>
      </c>
      <c r="E10" s="204">
        <v>24</v>
      </c>
      <c r="F10" s="205"/>
      <c r="G10" s="205"/>
      <c r="H10" s="205"/>
      <c r="I10" s="205"/>
      <c r="J10" s="204">
        <v>51</v>
      </c>
      <c r="K10" s="204">
        <v>10</v>
      </c>
      <c r="L10" s="204">
        <v>22</v>
      </c>
      <c r="M10" s="204">
        <v>29</v>
      </c>
      <c r="N10" s="206"/>
      <c r="O10" s="206"/>
      <c r="P10" s="204">
        <v>12</v>
      </c>
      <c r="Q10" s="206">
        <v>12</v>
      </c>
    </row>
    <row r="11" spans="1:17" ht="15" customHeight="1">
      <c r="A11" s="479"/>
      <c r="B11" s="186">
        <v>10</v>
      </c>
      <c r="C11" s="184" t="s">
        <v>304</v>
      </c>
      <c r="D11" s="83" t="s">
        <v>305</v>
      </c>
      <c r="E11" s="83" t="s">
        <v>305</v>
      </c>
      <c r="F11" s="114"/>
      <c r="G11" s="114"/>
      <c r="H11" s="114"/>
      <c r="I11" s="114"/>
      <c r="J11" s="83" t="s">
        <v>306</v>
      </c>
      <c r="K11" s="83" t="s">
        <v>306</v>
      </c>
      <c r="L11" s="83" t="s">
        <v>305</v>
      </c>
      <c r="M11" s="83" t="s">
        <v>305</v>
      </c>
      <c r="N11" s="114"/>
      <c r="O11" s="114"/>
      <c r="P11" s="83" t="s">
        <v>54</v>
      </c>
      <c r="Q11" s="83" t="s">
        <v>54</v>
      </c>
    </row>
    <row r="12" spans="1:17" ht="15" customHeight="1">
      <c r="A12" s="479"/>
      <c r="B12" s="186">
        <v>11</v>
      </c>
      <c r="C12" s="184" t="s">
        <v>307</v>
      </c>
      <c r="D12" s="83" t="s">
        <v>308</v>
      </c>
      <c r="E12" s="83" t="s">
        <v>308</v>
      </c>
      <c r="F12" s="114"/>
      <c r="G12" s="114"/>
      <c r="H12" s="114"/>
      <c r="I12" s="114"/>
      <c r="J12" s="83" t="s">
        <v>309</v>
      </c>
      <c r="K12" s="83" t="s">
        <v>309</v>
      </c>
      <c r="L12" s="83" t="s">
        <v>308</v>
      </c>
      <c r="M12" s="83" t="s">
        <v>308</v>
      </c>
      <c r="N12" s="114"/>
      <c r="O12" s="114"/>
      <c r="P12" s="83" t="s">
        <v>56</v>
      </c>
      <c r="Q12" s="83" t="s">
        <v>6</v>
      </c>
    </row>
    <row r="13" spans="1:17" ht="15" customHeight="1">
      <c r="A13" s="479"/>
      <c r="B13" s="186">
        <v>12</v>
      </c>
      <c r="C13" s="184" t="s">
        <v>310</v>
      </c>
      <c r="D13" s="83" t="s">
        <v>311</v>
      </c>
      <c r="E13" s="83" t="s">
        <v>312</v>
      </c>
      <c r="F13" s="114"/>
      <c r="G13" s="114"/>
      <c r="H13" s="114"/>
      <c r="I13" s="114"/>
      <c r="J13" s="83" t="s">
        <v>313</v>
      </c>
      <c r="K13" s="83" t="s">
        <v>311</v>
      </c>
      <c r="L13" s="83" t="s">
        <v>311</v>
      </c>
      <c r="M13" s="83" t="s">
        <v>311</v>
      </c>
      <c r="N13" s="114"/>
      <c r="O13" s="114"/>
      <c r="P13" s="83" t="s">
        <v>58</v>
      </c>
      <c r="Q13" s="83" t="s">
        <v>58</v>
      </c>
    </row>
    <row r="14" spans="1:17" ht="15" customHeight="1">
      <c r="A14" s="479" t="s">
        <v>314</v>
      </c>
      <c r="B14" s="186">
        <v>13</v>
      </c>
      <c r="C14" s="184" t="s">
        <v>315</v>
      </c>
      <c r="D14" s="83" t="s">
        <v>316</v>
      </c>
      <c r="E14" s="83" t="s">
        <v>316</v>
      </c>
      <c r="F14" s="114"/>
      <c r="G14" s="114"/>
      <c r="H14" s="114"/>
      <c r="I14" s="114"/>
      <c r="J14" s="83" t="s">
        <v>7</v>
      </c>
      <c r="K14" s="83" t="s">
        <v>459</v>
      </c>
      <c r="L14" s="83" t="s">
        <v>316</v>
      </c>
      <c r="M14" s="83" t="s">
        <v>61</v>
      </c>
      <c r="N14" s="114"/>
      <c r="O14" s="114"/>
      <c r="P14" s="83" t="s">
        <v>61</v>
      </c>
      <c r="Q14" s="83" t="s">
        <v>7</v>
      </c>
    </row>
    <row r="15" spans="1:17" ht="15" customHeight="1">
      <c r="A15" s="479"/>
      <c r="B15" s="186">
        <v>14</v>
      </c>
      <c r="C15" s="184" t="s">
        <v>317</v>
      </c>
      <c r="D15" s="114">
        <v>6</v>
      </c>
      <c r="E15" s="114">
        <v>6</v>
      </c>
      <c r="F15" s="114"/>
      <c r="G15" s="114"/>
      <c r="H15" s="114"/>
      <c r="I15" s="114"/>
      <c r="J15" s="83" t="s">
        <v>7</v>
      </c>
      <c r="K15" s="83" t="s">
        <v>459</v>
      </c>
      <c r="L15" s="114">
        <v>6</v>
      </c>
      <c r="M15" s="116">
        <v>4</v>
      </c>
      <c r="N15" s="114"/>
      <c r="O15" s="114"/>
      <c r="P15" s="116">
        <v>4</v>
      </c>
      <c r="Q15" s="83" t="s">
        <v>7</v>
      </c>
    </row>
    <row r="16" spans="1:17" ht="15" customHeight="1">
      <c r="A16" s="479" t="s">
        <v>318</v>
      </c>
      <c r="B16" s="478">
        <v>15</v>
      </c>
      <c r="C16" s="184" t="s">
        <v>319</v>
      </c>
      <c r="D16" s="83" t="s">
        <v>289</v>
      </c>
      <c r="E16" s="83" t="s">
        <v>289</v>
      </c>
      <c r="F16" s="114"/>
      <c r="G16" s="114"/>
      <c r="H16" s="114"/>
      <c r="I16" s="114"/>
      <c r="J16" s="83" t="s">
        <v>289</v>
      </c>
      <c r="K16" s="83" t="s">
        <v>289</v>
      </c>
      <c r="L16" s="83" t="s">
        <v>289</v>
      </c>
      <c r="M16" s="83" t="s">
        <v>289</v>
      </c>
      <c r="N16" s="114"/>
      <c r="O16" s="114"/>
      <c r="P16" s="83" t="s">
        <v>14</v>
      </c>
      <c r="Q16" s="83" t="s">
        <v>14</v>
      </c>
    </row>
    <row r="17" spans="1:17" ht="15" customHeight="1">
      <c r="A17" s="479"/>
      <c r="B17" s="478"/>
      <c r="C17" s="184" t="s">
        <v>320</v>
      </c>
      <c r="D17" s="117">
        <v>1020</v>
      </c>
      <c r="E17" s="117">
        <v>1060</v>
      </c>
      <c r="F17" s="114"/>
      <c r="G17" s="114"/>
      <c r="H17" s="114"/>
      <c r="I17" s="114"/>
      <c r="J17" s="117">
        <v>1100</v>
      </c>
      <c r="K17" s="117">
        <v>1030</v>
      </c>
      <c r="L17" s="117">
        <v>1045</v>
      </c>
      <c r="M17" s="117">
        <v>1040</v>
      </c>
      <c r="N17" s="114"/>
      <c r="O17" s="114"/>
      <c r="P17" s="117">
        <v>1030</v>
      </c>
      <c r="Q17" s="117">
        <v>1030</v>
      </c>
    </row>
    <row r="18" spans="1:17" ht="15" customHeight="1">
      <c r="A18" s="479"/>
      <c r="B18" s="478">
        <v>16</v>
      </c>
      <c r="C18" s="184" t="s">
        <v>321</v>
      </c>
      <c r="D18" s="83" t="s">
        <v>289</v>
      </c>
      <c r="E18" s="83" t="s">
        <v>289</v>
      </c>
      <c r="F18" s="114"/>
      <c r="G18" s="114"/>
      <c r="H18" s="114"/>
      <c r="I18" s="114"/>
      <c r="J18" s="83" t="s">
        <v>289</v>
      </c>
      <c r="K18" s="83" t="s">
        <v>289</v>
      </c>
      <c r="L18" s="83" t="s">
        <v>289</v>
      </c>
      <c r="M18" s="83" t="s">
        <v>289</v>
      </c>
      <c r="N18" s="114"/>
      <c r="O18" s="114"/>
      <c r="P18" s="83" t="s">
        <v>14</v>
      </c>
      <c r="Q18" s="83" t="s">
        <v>14</v>
      </c>
    </row>
    <row r="19" spans="1:17" ht="15" customHeight="1">
      <c r="A19" s="479"/>
      <c r="B19" s="478"/>
      <c r="C19" s="184" t="s">
        <v>322</v>
      </c>
      <c r="D19" s="117">
        <v>1055</v>
      </c>
      <c r="E19" s="117">
        <v>1045</v>
      </c>
      <c r="F19" s="114"/>
      <c r="G19" s="114"/>
      <c r="H19" s="114"/>
      <c r="I19" s="114"/>
      <c r="J19" s="117">
        <v>1060</v>
      </c>
      <c r="K19" s="117">
        <v>1010</v>
      </c>
      <c r="L19" s="117">
        <v>1030</v>
      </c>
      <c r="M19" s="117">
        <v>1050</v>
      </c>
      <c r="N19" s="114"/>
      <c r="O19" s="114"/>
      <c r="P19" s="117">
        <v>1010</v>
      </c>
      <c r="Q19" s="117">
        <v>1010</v>
      </c>
    </row>
    <row r="20" spans="1:17" ht="15" customHeight="1">
      <c r="A20" s="479"/>
      <c r="B20" s="478">
        <v>17</v>
      </c>
      <c r="C20" s="184" t="s">
        <v>323</v>
      </c>
      <c r="D20" s="83" t="s">
        <v>289</v>
      </c>
      <c r="E20" s="83" t="s">
        <v>289</v>
      </c>
      <c r="F20" s="114"/>
      <c r="G20" s="114"/>
      <c r="H20" s="114"/>
      <c r="I20" s="114"/>
      <c r="J20" s="83" t="s">
        <v>289</v>
      </c>
      <c r="K20" s="83" t="s">
        <v>289</v>
      </c>
      <c r="L20" s="83" t="s">
        <v>289</v>
      </c>
      <c r="M20" s="83" t="s">
        <v>289</v>
      </c>
      <c r="N20" s="114"/>
      <c r="O20" s="114"/>
      <c r="P20" s="83" t="s">
        <v>14</v>
      </c>
      <c r="Q20" s="83" t="s">
        <v>14</v>
      </c>
    </row>
    <row r="21" spans="1:17" ht="15" customHeight="1">
      <c r="A21" s="479"/>
      <c r="B21" s="478"/>
      <c r="C21" s="184" t="s">
        <v>324</v>
      </c>
      <c r="D21" s="117">
        <v>1040</v>
      </c>
      <c r="E21" s="117">
        <v>1050</v>
      </c>
      <c r="F21" s="114"/>
      <c r="G21" s="114"/>
      <c r="H21" s="114"/>
      <c r="I21" s="114"/>
      <c r="J21" s="117">
        <v>1030</v>
      </c>
      <c r="K21" s="117">
        <v>1100</v>
      </c>
      <c r="L21" s="117">
        <v>1050</v>
      </c>
      <c r="M21" s="117">
        <v>1030</v>
      </c>
      <c r="N21" s="114"/>
      <c r="O21" s="114"/>
      <c r="P21" s="117">
        <v>1100</v>
      </c>
      <c r="Q21" s="117">
        <v>1100</v>
      </c>
    </row>
    <row r="22" spans="1:17" ht="15" customHeight="1">
      <c r="A22" s="479"/>
      <c r="B22" s="478">
        <v>18</v>
      </c>
      <c r="C22" s="184" t="s">
        <v>325</v>
      </c>
      <c r="D22" s="83" t="s">
        <v>289</v>
      </c>
      <c r="E22" s="83" t="s">
        <v>289</v>
      </c>
      <c r="F22" s="114"/>
      <c r="G22" s="114"/>
      <c r="H22" s="114"/>
      <c r="I22" s="114"/>
      <c r="J22" s="83" t="s">
        <v>289</v>
      </c>
      <c r="K22" s="83" t="s">
        <v>289</v>
      </c>
      <c r="L22" s="83" t="s">
        <v>289</v>
      </c>
      <c r="M22" s="83" t="s">
        <v>289</v>
      </c>
      <c r="N22" s="114"/>
      <c r="O22" s="114"/>
      <c r="P22" s="83" t="s">
        <v>14</v>
      </c>
      <c r="Q22" s="83" t="s">
        <v>14</v>
      </c>
    </row>
    <row r="23" spans="1:17" ht="15" customHeight="1">
      <c r="A23" s="479"/>
      <c r="B23" s="478"/>
      <c r="C23" s="184" t="s">
        <v>326</v>
      </c>
      <c r="D23" s="117">
        <v>1005</v>
      </c>
      <c r="E23" s="117">
        <v>995</v>
      </c>
      <c r="F23" s="114"/>
      <c r="G23" s="114"/>
      <c r="H23" s="114"/>
      <c r="I23" s="114"/>
      <c r="J23" s="117">
        <v>1010</v>
      </c>
      <c r="K23" s="117">
        <v>960</v>
      </c>
      <c r="L23" s="117">
        <v>980</v>
      </c>
      <c r="M23" s="117">
        <v>1000</v>
      </c>
      <c r="N23" s="114"/>
      <c r="O23" s="114"/>
      <c r="P23" s="117">
        <v>960</v>
      </c>
      <c r="Q23" s="117">
        <v>960</v>
      </c>
    </row>
    <row r="24" spans="1:17" ht="15" customHeight="1">
      <c r="A24" s="479"/>
      <c r="B24" s="478">
        <v>19</v>
      </c>
      <c r="C24" s="184" t="s">
        <v>327</v>
      </c>
      <c r="D24" s="83" t="s">
        <v>289</v>
      </c>
      <c r="E24" s="83" t="s">
        <v>289</v>
      </c>
      <c r="F24" s="114"/>
      <c r="G24" s="114"/>
      <c r="H24" s="114"/>
      <c r="I24" s="114"/>
      <c r="J24" s="83" t="s">
        <v>289</v>
      </c>
      <c r="K24" s="83" t="s">
        <v>289</v>
      </c>
      <c r="L24" s="83" t="s">
        <v>289</v>
      </c>
      <c r="M24" s="83" t="s">
        <v>289</v>
      </c>
      <c r="N24" s="114"/>
      <c r="O24" s="114"/>
      <c r="P24" s="83" t="s">
        <v>14</v>
      </c>
      <c r="Q24" s="83" t="s">
        <v>14</v>
      </c>
    </row>
    <row r="25" spans="1:17" ht="15" customHeight="1">
      <c r="A25" s="479"/>
      <c r="B25" s="478"/>
      <c r="C25" s="184" t="s">
        <v>328</v>
      </c>
      <c r="D25" s="117">
        <v>1055</v>
      </c>
      <c r="E25" s="117">
        <v>1045</v>
      </c>
      <c r="F25" s="114"/>
      <c r="G25" s="114"/>
      <c r="H25" s="114"/>
      <c r="I25" s="114"/>
      <c r="J25" s="117">
        <v>1060</v>
      </c>
      <c r="K25" s="117">
        <v>1010</v>
      </c>
      <c r="L25" s="117">
        <v>1030</v>
      </c>
      <c r="M25" s="117">
        <v>1050</v>
      </c>
      <c r="N25" s="114"/>
      <c r="O25" s="114"/>
      <c r="P25" s="117">
        <v>1010</v>
      </c>
      <c r="Q25" s="117">
        <v>1010</v>
      </c>
    </row>
    <row r="26" spans="1:17" ht="15" customHeight="1">
      <c r="A26" s="479" t="s">
        <v>329</v>
      </c>
      <c r="B26" s="488">
        <v>20</v>
      </c>
      <c r="C26" s="184" t="s">
        <v>330</v>
      </c>
      <c r="D26" s="84" t="s">
        <v>331</v>
      </c>
      <c r="E26" s="84" t="s">
        <v>331</v>
      </c>
      <c r="F26" s="118"/>
      <c r="G26" s="118"/>
      <c r="H26" s="118"/>
      <c r="I26" s="118"/>
      <c r="J26" s="84" t="s">
        <v>331</v>
      </c>
      <c r="K26" s="84" t="s">
        <v>331</v>
      </c>
      <c r="L26" s="84" t="s">
        <v>331</v>
      </c>
      <c r="M26" s="84" t="s">
        <v>331</v>
      </c>
      <c r="N26" s="118"/>
      <c r="O26" s="118"/>
      <c r="P26" s="84" t="s">
        <v>67</v>
      </c>
      <c r="Q26" s="84" t="s">
        <v>67</v>
      </c>
    </row>
    <row r="27" spans="1:17" ht="15" customHeight="1">
      <c r="A27" s="479"/>
      <c r="B27" s="493"/>
      <c r="C27" s="184" t="s">
        <v>332</v>
      </c>
      <c r="D27" s="117">
        <v>2400</v>
      </c>
      <c r="E27" s="117">
        <v>2450</v>
      </c>
      <c r="F27" s="114"/>
      <c r="G27" s="114"/>
      <c r="H27" s="114"/>
      <c r="I27" s="114"/>
      <c r="J27" s="117">
        <v>3000</v>
      </c>
      <c r="K27" s="117">
        <v>2480</v>
      </c>
      <c r="L27" s="117">
        <v>2495</v>
      </c>
      <c r="M27" s="117">
        <v>2500</v>
      </c>
      <c r="N27" s="114"/>
      <c r="O27" s="114"/>
      <c r="P27" s="117">
        <v>2480</v>
      </c>
      <c r="Q27" s="117">
        <v>2480</v>
      </c>
    </row>
    <row r="28" spans="1:17" ht="15" customHeight="1">
      <c r="A28" s="479"/>
      <c r="B28" s="186">
        <v>21</v>
      </c>
      <c r="C28" s="184" t="s">
        <v>333</v>
      </c>
      <c r="D28" s="116" t="s">
        <v>302</v>
      </c>
      <c r="E28" s="116" t="s">
        <v>302</v>
      </c>
      <c r="F28" s="114"/>
      <c r="G28" s="114"/>
      <c r="H28" s="114"/>
      <c r="I28" s="114"/>
      <c r="J28" s="116" t="s">
        <v>302</v>
      </c>
      <c r="K28" s="116" t="s">
        <v>302</v>
      </c>
      <c r="L28" s="116" t="s">
        <v>302</v>
      </c>
      <c r="M28" s="116" t="s">
        <v>302</v>
      </c>
      <c r="N28" s="114"/>
      <c r="O28" s="114"/>
      <c r="P28" s="116" t="s">
        <v>8</v>
      </c>
      <c r="Q28" s="116" t="s">
        <v>8</v>
      </c>
    </row>
    <row r="29" spans="1:17" ht="15" customHeight="1">
      <c r="A29" s="485" t="s">
        <v>334</v>
      </c>
      <c r="B29" s="186">
        <v>22</v>
      </c>
      <c r="C29" s="184" t="s">
        <v>335</v>
      </c>
      <c r="D29" s="28" t="s">
        <v>336</v>
      </c>
      <c r="E29" s="28" t="s">
        <v>336</v>
      </c>
      <c r="F29" s="138" t="s">
        <v>336</v>
      </c>
      <c r="G29" s="138" t="s">
        <v>336</v>
      </c>
      <c r="H29" s="138" t="s">
        <v>336</v>
      </c>
      <c r="I29" s="138" t="s">
        <v>336</v>
      </c>
      <c r="J29" s="138" t="s">
        <v>337</v>
      </c>
      <c r="K29" s="28" t="s">
        <v>336</v>
      </c>
      <c r="L29" s="28" t="s">
        <v>336</v>
      </c>
      <c r="M29" s="28" t="s">
        <v>336</v>
      </c>
      <c r="N29" s="28" t="s">
        <v>69</v>
      </c>
      <c r="O29" s="28" t="s">
        <v>69</v>
      </c>
      <c r="P29" s="28" t="s">
        <v>69</v>
      </c>
      <c r="Q29" s="28" t="s">
        <v>69</v>
      </c>
    </row>
    <row r="30" spans="1:17" ht="15" customHeight="1">
      <c r="A30" s="486"/>
      <c r="B30" s="186">
        <v>23</v>
      </c>
      <c r="C30" s="184" t="s">
        <v>338</v>
      </c>
      <c r="D30" s="116" t="s">
        <v>302</v>
      </c>
      <c r="E30" s="116" t="s">
        <v>302</v>
      </c>
      <c r="F30" s="114"/>
      <c r="G30" s="114"/>
      <c r="H30" s="114"/>
      <c r="I30" s="114"/>
      <c r="J30" s="116" t="s">
        <v>302</v>
      </c>
      <c r="K30" s="116" t="s">
        <v>302</v>
      </c>
      <c r="L30" s="116" t="s">
        <v>302</v>
      </c>
      <c r="M30" s="116" t="s">
        <v>302</v>
      </c>
      <c r="N30" s="114"/>
      <c r="O30" s="114"/>
      <c r="P30" s="116" t="s">
        <v>8</v>
      </c>
      <c r="Q30" s="116" t="s">
        <v>8</v>
      </c>
    </row>
    <row r="31" spans="1:17" ht="15" customHeight="1">
      <c r="A31" s="486"/>
      <c r="B31" s="186">
        <v>24</v>
      </c>
      <c r="C31" s="184" t="s">
        <v>339</v>
      </c>
      <c r="D31" s="116" t="s">
        <v>302</v>
      </c>
      <c r="E31" s="116" t="s">
        <v>302</v>
      </c>
      <c r="F31" s="114"/>
      <c r="G31" s="114"/>
      <c r="H31" s="114"/>
      <c r="I31" s="114"/>
      <c r="J31" s="116" t="s">
        <v>302</v>
      </c>
      <c r="K31" s="116" t="s">
        <v>302</v>
      </c>
      <c r="L31" s="116" t="s">
        <v>302</v>
      </c>
      <c r="M31" s="116" t="s">
        <v>302</v>
      </c>
      <c r="N31" s="114"/>
      <c r="O31" s="114"/>
      <c r="P31" s="116" t="s">
        <v>8</v>
      </c>
      <c r="Q31" s="116" t="s">
        <v>8</v>
      </c>
    </row>
    <row r="32" spans="1:17" ht="15" customHeight="1">
      <c r="A32" s="486"/>
      <c r="B32" s="488">
        <v>25</v>
      </c>
      <c r="C32" s="184" t="s">
        <v>340</v>
      </c>
      <c r="D32" s="83" t="s">
        <v>341</v>
      </c>
      <c r="E32" s="83" t="s">
        <v>341</v>
      </c>
      <c r="F32" s="116"/>
      <c r="G32" s="116"/>
      <c r="H32" s="116"/>
      <c r="I32" s="116"/>
      <c r="J32" s="83" t="s">
        <v>341</v>
      </c>
      <c r="K32" s="83" t="s">
        <v>341</v>
      </c>
      <c r="L32" s="83" t="s">
        <v>341</v>
      </c>
      <c r="M32" s="83" t="s">
        <v>341</v>
      </c>
      <c r="N32" s="114"/>
      <c r="O32" s="114"/>
      <c r="P32" s="83" t="s">
        <v>7</v>
      </c>
      <c r="Q32" s="83" t="s">
        <v>7</v>
      </c>
    </row>
    <row r="33" spans="1:18" ht="15" customHeight="1">
      <c r="A33" s="487"/>
      <c r="B33" s="489"/>
      <c r="C33" s="184" t="s">
        <v>342</v>
      </c>
      <c r="D33" s="83" t="s">
        <v>341</v>
      </c>
      <c r="E33" s="83" t="s">
        <v>341</v>
      </c>
      <c r="F33" s="116"/>
      <c r="G33" s="116"/>
      <c r="H33" s="116"/>
      <c r="I33" s="116"/>
      <c r="J33" s="83" t="s">
        <v>341</v>
      </c>
      <c r="K33" s="83" t="s">
        <v>341</v>
      </c>
      <c r="L33" s="83" t="s">
        <v>341</v>
      </c>
      <c r="M33" s="83" t="s">
        <v>341</v>
      </c>
      <c r="N33" s="114"/>
      <c r="O33" s="114"/>
      <c r="P33" s="83" t="s">
        <v>7</v>
      </c>
      <c r="Q33" s="83" t="s">
        <v>7</v>
      </c>
    </row>
    <row r="34" spans="1:18" ht="45" customHeight="1">
      <c r="A34" s="490" t="s">
        <v>343</v>
      </c>
      <c r="B34" s="491"/>
      <c r="C34" s="492"/>
      <c r="D34" s="148"/>
      <c r="E34" s="148"/>
      <c r="F34" s="148"/>
      <c r="G34" s="148"/>
      <c r="H34" s="148"/>
      <c r="I34" s="148"/>
      <c r="J34" s="148"/>
      <c r="K34" s="148"/>
      <c r="L34" s="148"/>
      <c r="M34" s="148"/>
      <c r="N34" s="148"/>
      <c r="O34" s="148"/>
      <c r="P34" s="148"/>
      <c r="Q34" s="148"/>
    </row>
    <row r="35" spans="1:18" ht="42" customHeight="1">
      <c r="A35" s="187" t="s">
        <v>344</v>
      </c>
      <c r="B35" s="483" t="s">
        <v>725</v>
      </c>
      <c r="C35" s="484"/>
      <c r="D35" s="119">
        <v>14500</v>
      </c>
      <c r="E35" s="119"/>
      <c r="F35" s="119">
        <v>14500</v>
      </c>
      <c r="G35" s="119">
        <v>14500</v>
      </c>
      <c r="H35" s="119">
        <v>14500</v>
      </c>
      <c r="I35" s="119">
        <v>14500</v>
      </c>
      <c r="J35" s="119">
        <v>14500</v>
      </c>
      <c r="K35" s="119">
        <v>14500</v>
      </c>
      <c r="L35" s="119">
        <v>14500</v>
      </c>
      <c r="M35" s="119"/>
      <c r="N35" s="119">
        <v>14500</v>
      </c>
      <c r="O35" s="119">
        <v>14500</v>
      </c>
      <c r="P35" s="119">
        <v>14500</v>
      </c>
      <c r="Q35" s="119">
        <v>14500</v>
      </c>
    </row>
    <row r="36" spans="1:18" s="142" customFormat="1" ht="18.75" customHeight="1">
      <c r="A36" s="139" t="s">
        <v>399</v>
      </c>
      <c r="B36" s="140"/>
      <c r="C36" s="140"/>
      <c r="D36" s="141"/>
      <c r="E36" s="141"/>
      <c r="F36" s="140"/>
      <c r="G36" s="140"/>
      <c r="H36" s="140"/>
      <c r="I36" s="140"/>
      <c r="J36" s="140"/>
      <c r="K36" s="140"/>
      <c r="L36" s="140"/>
      <c r="M36" s="140"/>
      <c r="N36" s="140"/>
      <c r="O36" s="140"/>
      <c r="P36" s="140"/>
      <c r="Q36" s="140"/>
      <c r="R36" s="140"/>
    </row>
  </sheetData>
  <mergeCells count="18">
    <mergeCell ref="B35:C35"/>
    <mergeCell ref="A29:A33"/>
    <mergeCell ref="B32:B33"/>
    <mergeCell ref="A8:A13"/>
    <mergeCell ref="A14:A15"/>
    <mergeCell ref="B16:B17"/>
    <mergeCell ref="A34:C34"/>
    <mergeCell ref="B18:B19"/>
    <mergeCell ref="B26:B27"/>
    <mergeCell ref="A26:A28"/>
    <mergeCell ref="A1:Q1"/>
    <mergeCell ref="A2:M2"/>
    <mergeCell ref="B22:B23"/>
    <mergeCell ref="B24:B25"/>
    <mergeCell ref="A16:A25"/>
    <mergeCell ref="A3:B7"/>
    <mergeCell ref="B20:B21"/>
    <mergeCell ref="O2:Q2"/>
  </mergeCells>
  <phoneticPr fontId="3" type="noConversion"/>
  <printOptions horizontalCentered="1" verticalCentered="1"/>
  <pageMargins left="0.23622047244094491" right="0.23622047244094491" top="0.39" bottom="0.39" header="0.31496062992125984" footer="0.31496062992125984"/>
  <pageSetup paperSize="9" scale="90"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F60E8-73B5-44B7-9E10-4F045A86EB98}">
  <sheetPr>
    <pageSetUpPr fitToPage="1"/>
  </sheetPr>
  <dimension ref="A1:Q33"/>
  <sheetViews>
    <sheetView workbookViewId="0">
      <selection activeCell="O2" sqref="O2:Q2"/>
    </sheetView>
  </sheetViews>
  <sheetFormatPr defaultRowHeight="16.5"/>
  <cols>
    <col min="1" max="1" width="12.375" customWidth="1"/>
    <col min="2" max="2" width="13.5" customWidth="1"/>
    <col min="3" max="3" width="21.875" hidden="1" customWidth="1"/>
    <col min="4" max="11" width="13.5" customWidth="1"/>
  </cols>
  <sheetData>
    <row r="1" spans="1:17" ht="19.5">
      <c r="A1" s="413" t="s">
        <v>696</v>
      </c>
      <c r="B1" s="434"/>
      <c r="C1" s="434"/>
      <c r="D1" s="434"/>
      <c r="E1" s="434"/>
      <c r="F1" s="434"/>
      <c r="G1" s="434"/>
    </row>
    <row r="2" spans="1:17">
      <c r="A2" s="475" t="s">
        <v>398</v>
      </c>
      <c r="B2" s="494"/>
      <c r="C2" s="494"/>
      <c r="D2" s="494"/>
      <c r="E2" s="494"/>
      <c r="F2" s="494"/>
      <c r="G2" s="494"/>
      <c r="H2" s="495"/>
      <c r="I2" s="495"/>
      <c r="J2" s="495"/>
      <c r="K2" s="496"/>
      <c r="O2" s="438"/>
      <c r="P2" s="438"/>
      <c r="Q2" s="438"/>
    </row>
    <row r="3" spans="1:17">
      <c r="A3" s="497" t="s">
        <v>117</v>
      </c>
      <c r="B3" s="414" t="s">
        <v>416</v>
      </c>
      <c r="C3" s="414"/>
      <c r="D3" s="414" t="s">
        <v>436</v>
      </c>
      <c r="E3" s="414" t="s">
        <v>437</v>
      </c>
      <c r="F3" s="414" t="s">
        <v>417</v>
      </c>
      <c r="G3" s="414" t="s">
        <v>418</v>
      </c>
      <c r="H3" s="415"/>
      <c r="I3" s="415"/>
      <c r="J3" s="415"/>
      <c r="K3" s="415"/>
    </row>
    <row r="4" spans="1:17">
      <c r="A4" s="498"/>
      <c r="B4" s="414"/>
      <c r="C4" s="414"/>
      <c r="D4" s="416" t="s">
        <v>697</v>
      </c>
      <c r="E4" s="416"/>
      <c r="F4" s="414"/>
      <c r="G4" s="414"/>
      <c r="H4" s="414"/>
      <c r="I4" s="414"/>
      <c r="J4" s="414"/>
      <c r="K4" s="414"/>
    </row>
    <row r="5" spans="1:17">
      <c r="A5" s="417" t="s">
        <v>12</v>
      </c>
      <c r="B5" s="418" t="s">
        <v>14</v>
      </c>
      <c r="C5" s="418"/>
      <c r="D5" s="418" t="s">
        <v>14</v>
      </c>
      <c r="E5" s="418" t="s">
        <v>14</v>
      </c>
      <c r="F5" s="418" t="s">
        <v>14</v>
      </c>
      <c r="G5" s="418" t="s">
        <v>14</v>
      </c>
      <c r="H5" s="418"/>
      <c r="I5" s="418"/>
      <c r="J5" s="418"/>
      <c r="K5" s="418"/>
    </row>
    <row r="6" spans="1:17">
      <c r="A6" s="417" t="s">
        <v>290</v>
      </c>
      <c r="B6" s="419" t="s">
        <v>291</v>
      </c>
      <c r="C6" s="419"/>
      <c r="D6" s="419" t="s">
        <v>291</v>
      </c>
      <c r="E6" s="419" t="s">
        <v>291</v>
      </c>
      <c r="F6" s="419" t="s">
        <v>291</v>
      </c>
      <c r="G6" s="419" t="s">
        <v>291</v>
      </c>
      <c r="H6" s="419"/>
      <c r="I6" s="419"/>
      <c r="J6" s="419"/>
      <c r="K6" s="419"/>
    </row>
    <row r="7" spans="1:17">
      <c r="A7" s="417" t="s">
        <v>13</v>
      </c>
      <c r="B7" s="414" t="s">
        <v>88</v>
      </c>
      <c r="C7" s="414"/>
      <c r="D7" s="414" t="s">
        <v>90</v>
      </c>
      <c r="E7" s="414" t="s">
        <v>435</v>
      </c>
      <c r="F7" s="414" t="s">
        <v>433</v>
      </c>
      <c r="G7" s="414" t="s">
        <v>434</v>
      </c>
      <c r="H7" s="414"/>
      <c r="I7" s="414"/>
      <c r="J7" s="414"/>
      <c r="K7" s="414"/>
    </row>
    <row r="8" spans="1:17" ht="16.5" customHeight="1">
      <c r="A8" s="499" t="s">
        <v>698</v>
      </c>
      <c r="B8" s="420" t="s">
        <v>442</v>
      </c>
      <c r="C8" s="414"/>
      <c r="D8" s="420" t="s">
        <v>443</v>
      </c>
      <c r="E8" s="420" t="s">
        <v>699</v>
      </c>
      <c r="F8" s="420" t="s">
        <v>442</v>
      </c>
      <c r="G8" s="420" t="s">
        <v>442</v>
      </c>
      <c r="H8" s="414"/>
      <c r="I8" s="414"/>
      <c r="J8" s="414"/>
      <c r="K8" s="414"/>
    </row>
    <row r="9" spans="1:17" ht="16.5" customHeight="1">
      <c r="A9" s="500"/>
      <c r="B9" s="421" t="s">
        <v>700</v>
      </c>
      <c r="C9" s="421"/>
      <c r="D9" s="421" t="s">
        <v>700</v>
      </c>
      <c r="E9" s="421" t="s">
        <v>700</v>
      </c>
      <c r="F9" s="421" t="s">
        <v>700</v>
      </c>
      <c r="G9" s="421" t="s">
        <v>700</v>
      </c>
      <c r="H9" s="421"/>
      <c r="I9" s="421"/>
      <c r="J9" s="421"/>
      <c r="K9" s="421"/>
    </row>
    <row r="10" spans="1:17">
      <c r="A10" s="422" t="s">
        <v>701</v>
      </c>
      <c r="B10" s="423" t="s">
        <v>702</v>
      </c>
      <c r="C10" s="424"/>
      <c r="D10" s="424"/>
      <c r="E10" s="424"/>
      <c r="F10" s="423" t="s">
        <v>702</v>
      </c>
      <c r="G10" s="423" t="s">
        <v>703</v>
      </c>
      <c r="H10" s="424"/>
      <c r="I10" s="424"/>
      <c r="J10" s="424"/>
      <c r="K10" s="424"/>
    </row>
    <row r="11" spans="1:17">
      <c r="A11" s="422" t="s">
        <v>704</v>
      </c>
      <c r="B11" s="423" t="s">
        <v>703</v>
      </c>
      <c r="C11" s="423"/>
      <c r="D11" s="423" t="s">
        <v>703</v>
      </c>
      <c r="E11" s="423" t="s">
        <v>703</v>
      </c>
      <c r="F11" s="423" t="s">
        <v>703</v>
      </c>
      <c r="G11" s="423" t="s">
        <v>702</v>
      </c>
      <c r="H11" s="423"/>
      <c r="I11" s="423"/>
      <c r="J11" s="423"/>
      <c r="K11" s="423"/>
    </row>
    <row r="12" spans="1:17">
      <c r="A12" s="422" t="s">
        <v>705</v>
      </c>
      <c r="B12" s="423" t="s">
        <v>703</v>
      </c>
      <c r="C12" s="423"/>
      <c r="D12" s="423" t="s">
        <v>703</v>
      </c>
      <c r="E12" s="423" t="s">
        <v>703</v>
      </c>
      <c r="F12" s="423" t="s">
        <v>703</v>
      </c>
      <c r="G12" s="423" t="s">
        <v>703</v>
      </c>
      <c r="H12" s="423"/>
      <c r="I12" s="423"/>
      <c r="J12" s="423"/>
      <c r="K12" s="423"/>
    </row>
    <row r="13" spans="1:17">
      <c r="A13" s="422" t="s">
        <v>706</v>
      </c>
      <c r="B13" s="423"/>
      <c r="C13" s="423"/>
      <c r="D13" s="423" t="s">
        <v>703</v>
      </c>
      <c r="E13" s="423" t="s">
        <v>703</v>
      </c>
      <c r="F13" s="423"/>
      <c r="G13" s="425"/>
      <c r="H13" s="423"/>
      <c r="I13" s="423"/>
      <c r="J13" s="423"/>
      <c r="K13" s="423"/>
    </row>
    <row r="14" spans="1:17">
      <c r="A14" s="422" t="s">
        <v>707</v>
      </c>
      <c r="B14" s="423"/>
      <c r="C14" s="423"/>
      <c r="D14" s="423" t="s">
        <v>703</v>
      </c>
      <c r="E14" s="423" t="s">
        <v>703</v>
      </c>
      <c r="F14" s="423"/>
      <c r="G14" s="425"/>
      <c r="H14" s="423"/>
      <c r="I14" s="423"/>
      <c r="J14" s="423"/>
      <c r="K14" s="423"/>
    </row>
    <row r="15" spans="1:17">
      <c r="A15" s="422"/>
      <c r="B15" s="423"/>
      <c r="C15" s="423"/>
      <c r="D15" s="423"/>
      <c r="E15" s="423"/>
      <c r="F15" s="423"/>
      <c r="G15" s="425"/>
      <c r="H15" s="423"/>
      <c r="I15" s="423"/>
      <c r="J15" s="423"/>
      <c r="K15" s="423"/>
    </row>
    <row r="16" spans="1:17">
      <c r="A16" s="422"/>
      <c r="B16" s="423"/>
      <c r="C16" s="423"/>
      <c r="D16" s="423"/>
      <c r="E16" s="423"/>
      <c r="F16" s="423"/>
      <c r="G16" s="425"/>
      <c r="H16" s="423"/>
      <c r="I16" s="423"/>
      <c r="J16" s="423"/>
      <c r="K16" s="423"/>
    </row>
    <row r="17" spans="1:11">
      <c r="A17" s="422"/>
      <c r="B17" s="423"/>
      <c r="C17" s="423"/>
      <c r="D17" s="423"/>
      <c r="E17" s="423"/>
      <c r="F17" s="423"/>
      <c r="G17" s="425"/>
      <c r="H17" s="423"/>
      <c r="I17" s="423"/>
      <c r="J17" s="423"/>
      <c r="K17" s="423"/>
    </row>
    <row r="18" spans="1:11">
      <c r="A18" s="422"/>
      <c r="B18" s="423"/>
      <c r="C18" s="423"/>
      <c r="D18" s="423"/>
      <c r="E18" s="423"/>
      <c r="F18" s="423"/>
      <c r="G18" s="425"/>
      <c r="H18" s="423"/>
      <c r="I18" s="423"/>
      <c r="J18" s="423"/>
      <c r="K18" s="423"/>
    </row>
    <row r="19" spans="1:11">
      <c r="A19" s="422"/>
      <c r="B19" s="423"/>
      <c r="C19" s="423"/>
      <c r="D19" s="423"/>
      <c r="E19" s="423"/>
      <c r="F19" s="423"/>
      <c r="G19" s="425"/>
      <c r="H19" s="423"/>
      <c r="I19" s="423"/>
      <c r="J19" s="423"/>
      <c r="K19" s="423"/>
    </row>
    <row r="20" spans="1:11">
      <c r="A20" s="422"/>
      <c r="B20" s="423"/>
      <c r="C20" s="423"/>
      <c r="D20" s="423"/>
      <c r="E20" s="423"/>
      <c r="F20" s="423"/>
      <c r="G20" s="425"/>
      <c r="H20" s="423"/>
      <c r="I20" s="423"/>
      <c r="J20" s="423"/>
      <c r="K20" s="423"/>
    </row>
    <row r="21" spans="1:11">
      <c r="A21" s="422"/>
      <c r="B21" s="423"/>
      <c r="C21" s="423"/>
      <c r="D21" s="423"/>
      <c r="E21" s="423"/>
      <c r="F21" s="423"/>
      <c r="G21" s="423"/>
      <c r="H21" s="423"/>
      <c r="I21" s="423"/>
      <c r="J21" s="423"/>
      <c r="K21" s="423"/>
    </row>
    <row r="22" spans="1:11">
      <c r="A22" s="422"/>
      <c r="B22" s="423"/>
      <c r="C22" s="423"/>
      <c r="D22" s="423"/>
      <c r="E22" s="423"/>
      <c r="F22" s="423"/>
      <c r="G22" s="425"/>
      <c r="H22" s="423"/>
      <c r="I22" s="423"/>
      <c r="J22" s="423"/>
      <c r="K22" s="423"/>
    </row>
    <row r="23" spans="1:11">
      <c r="A23" s="422"/>
      <c r="B23" s="423"/>
      <c r="C23" s="423"/>
      <c r="D23" s="423"/>
      <c r="E23" s="423"/>
      <c r="F23" s="423"/>
      <c r="G23" s="425"/>
      <c r="H23" s="423"/>
      <c r="I23" s="423"/>
      <c r="J23" s="423"/>
      <c r="K23" s="423"/>
    </row>
    <row r="24" spans="1:11">
      <c r="A24" s="422"/>
      <c r="B24" s="423"/>
      <c r="C24" s="423"/>
      <c r="D24" s="423"/>
      <c r="E24" s="423"/>
      <c r="F24" s="423"/>
      <c r="G24" s="425"/>
      <c r="H24" s="423"/>
      <c r="I24" s="423"/>
      <c r="J24" s="423"/>
      <c r="K24" s="423"/>
    </row>
    <row r="25" spans="1:11">
      <c r="A25" s="422"/>
      <c r="B25" s="423"/>
      <c r="C25" s="423"/>
      <c r="D25" s="423"/>
      <c r="E25" s="423"/>
      <c r="F25" s="423"/>
      <c r="G25" s="425"/>
      <c r="H25" s="423"/>
      <c r="I25" s="423"/>
      <c r="J25" s="423"/>
      <c r="K25" s="423"/>
    </row>
    <row r="26" spans="1:11">
      <c r="A26" s="422"/>
      <c r="B26" s="423"/>
      <c r="C26" s="423"/>
      <c r="D26" s="423"/>
      <c r="E26" s="423"/>
      <c r="F26" s="423"/>
      <c r="G26" s="425"/>
      <c r="H26" s="423"/>
      <c r="I26" s="423"/>
      <c r="J26" s="423"/>
      <c r="K26" s="423"/>
    </row>
    <row r="27" spans="1:11">
      <c r="A27" s="426"/>
      <c r="B27" s="427"/>
      <c r="C27" s="427"/>
      <c r="D27" s="427"/>
      <c r="E27" s="427"/>
      <c r="F27" s="427"/>
      <c r="G27" s="425"/>
      <c r="H27" s="427"/>
      <c r="I27" s="427"/>
      <c r="J27" s="427"/>
      <c r="K27" s="427"/>
    </row>
    <row r="28" spans="1:11">
      <c r="A28" s="426"/>
      <c r="B28" s="427"/>
      <c r="C28" s="427"/>
      <c r="D28" s="427"/>
      <c r="E28" s="427"/>
      <c r="F28" s="427"/>
      <c r="G28" s="425"/>
      <c r="H28" s="427"/>
      <c r="I28" s="427"/>
      <c r="J28" s="427"/>
      <c r="K28" s="427"/>
    </row>
    <row r="29" spans="1:11">
      <c r="A29" s="426"/>
      <c r="B29" s="427"/>
      <c r="C29" s="427"/>
      <c r="D29" s="427"/>
      <c r="E29" s="427"/>
      <c r="F29" s="427"/>
      <c r="G29" s="425"/>
      <c r="H29" s="427"/>
      <c r="I29" s="427"/>
      <c r="J29" s="427"/>
      <c r="K29" s="427"/>
    </row>
    <row r="30" spans="1:11">
      <c r="A30" s="426"/>
      <c r="B30" s="427"/>
      <c r="C30" s="427"/>
      <c r="D30" s="427"/>
      <c r="E30" s="427"/>
      <c r="F30" s="427"/>
      <c r="G30" s="425"/>
      <c r="H30" s="427"/>
      <c r="I30" s="427"/>
      <c r="J30" s="427"/>
      <c r="K30" s="427"/>
    </row>
    <row r="31" spans="1:11">
      <c r="A31" s="425"/>
      <c r="B31" s="425"/>
      <c r="C31" s="425"/>
      <c r="D31" s="425"/>
      <c r="E31" s="425"/>
      <c r="F31" s="425"/>
      <c r="G31" s="425"/>
      <c r="H31" s="425"/>
      <c r="I31" s="425"/>
      <c r="J31" s="425"/>
      <c r="K31" s="425"/>
    </row>
    <row r="32" spans="1:11">
      <c r="A32" s="425"/>
      <c r="B32" s="425"/>
      <c r="C32" s="425"/>
      <c r="D32" s="425"/>
      <c r="E32" s="425"/>
      <c r="F32" s="425"/>
      <c r="G32" s="425"/>
      <c r="H32" s="425"/>
      <c r="I32" s="425"/>
      <c r="J32" s="425"/>
      <c r="K32" s="425"/>
    </row>
    <row r="33" spans="1:11">
      <c r="A33" s="425"/>
      <c r="B33" s="425"/>
      <c r="C33" s="425"/>
      <c r="D33" s="425"/>
      <c r="E33" s="425"/>
      <c r="F33" s="425"/>
      <c r="G33" s="425"/>
      <c r="H33" s="425"/>
      <c r="I33" s="425"/>
      <c r="J33" s="425"/>
      <c r="K33" s="425"/>
    </row>
  </sheetData>
  <mergeCells count="3">
    <mergeCell ref="A2:K2"/>
    <mergeCell ref="A3:A4"/>
    <mergeCell ref="A8:A9"/>
  </mergeCells>
  <phoneticPr fontId="3" type="noConversion"/>
  <printOptions horizontalCentered="1" verticalCentered="1"/>
  <pageMargins left="0.23622047244094491" right="0.23622047244094491" top="0.38" bottom="0.31" header="0.31496062992125984" footer="0.31496062992125984"/>
  <pageSetup paperSize="9"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6CF-0DC7-4485-9432-724881E00D8D}">
  <sheetPr>
    <tabColor indexed="48"/>
    <pageSetUpPr fitToPage="1"/>
  </sheetPr>
  <dimension ref="A1:Q34"/>
  <sheetViews>
    <sheetView zoomScale="85" workbookViewId="0">
      <selection activeCell="O2" sqref="O2:Q2"/>
    </sheetView>
  </sheetViews>
  <sheetFormatPr defaultRowHeight="15.75"/>
  <cols>
    <col min="1" max="1" width="6.625" style="32" customWidth="1"/>
    <col min="2" max="2" width="3.875" style="32" customWidth="1"/>
    <col min="3" max="3" width="6.625" style="32" customWidth="1"/>
    <col min="4" max="4" width="7.625" style="32" customWidth="1"/>
    <col min="5" max="5" width="8.125" style="32" customWidth="1"/>
    <col min="6" max="6" width="6.375" style="32" customWidth="1"/>
    <col min="7" max="7" width="8.125" style="32" customWidth="1"/>
    <col min="8" max="8" width="12.625" style="32" customWidth="1"/>
    <col min="9" max="9" width="7.875" style="32" customWidth="1"/>
    <col min="10" max="10" width="19.625" style="32" customWidth="1"/>
    <col min="11" max="11" width="20.625" style="32" customWidth="1"/>
    <col min="12" max="12" width="7.125" style="32" customWidth="1"/>
    <col min="13" max="13" width="10.125" style="32" customWidth="1"/>
    <col min="14" max="14" width="13.875" style="32" customWidth="1"/>
    <col min="15" max="16384" width="9" style="32"/>
  </cols>
  <sheetData>
    <row r="1" spans="1:17" ht="21">
      <c r="A1" s="615" t="s">
        <v>657</v>
      </c>
      <c r="B1" s="616"/>
      <c r="C1" s="616"/>
      <c r="D1" s="616"/>
      <c r="E1" s="616"/>
      <c r="F1" s="616"/>
      <c r="G1" s="616"/>
      <c r="H1" s="616"/>
      <c r="I1" s="154" t="s">
        <v>36</v>
      </c>
      <c r="J1" s="395">
        <v>1040301</v>
      </c>
      <c r="K1" s="30" t="s">
        <v>563</v>
      </c>
      <c r="L1" s="602" t="s">
        <v>34</v>
      </c>
      <c r="M1" s="603"/>
      <c r="N1" s="31">
        <v>1</v>
      </c>
    </row>
    <row r="2" spans="1:17" ht="20.100000000000001" customHeight="1">
      <c r="A2" s="622" t="s">
        <v>120</v>
      </c>
      <c r="B2" s="623"/>
      <c r="C2" s="623"/>
      <c r="D2" s="623"/>
      <c r="E2" s="623"/>
      <c r="F2" s="623"/>
      <c r="G2" s="623"/>
      <c r="H2" s="623"/>
      <c r="I2" s="624"/>
      <c r="J2" s="606" t="s">
        <v>35</v>
      </c>
      <c r="K2" s="607"/>
      <c r="L2" s="607"/>
      <c r="M2" s="607"/>
      <c r="N2" s="608"/>
      <c r="O2" s="445"/>
      <c r="P2" s="443"/>
      <c r="Q2" s="443"/>
    </row>
    <row r="3" spans="1:17" ht="20.100000000000001" customHeight="1">
      <c r="A3" s="625" t="s">
        <v>97</v>
      </c>
      <c r="B3" s="626"/>
      <c r="C3" s="626"/>
      <c r="D3" s="617" t="str">
        <f>[1]比較!G5</f>
        <v>台北市中山區XX段X小段XXX地號</v>
      </c>
      <c r="E3" s="617"/>
      <c r="F3" s="617"/>
      <c r="G3" s="617"/>
      <c r="H3" s="617"/>
      <c r="I3" s="618"/>
      <c r="J3" s="609" t="s">
        <v>189</v>
      </c>
      <c r="K3" s="610"/>
      <c r="L3" s="610"/>
      <c r="M3" s="611">
        <v>0</v>
      </c>
      <c r="N3" s="612"/>
    </row>
    <row r="4" spans="1:17" ht="20.100000000000001" customHeight="1">
      <c r="A4" s="575" t="s">
        <v>121</v>
      </c>
      <c r="B4" s="576"/>
      <c r="C4" s="576"/>
      <c r="D4" s="619" t="s">
        <v>273</v>
      </c>
      <c r="E4" s="620"/>
      <c r="F4" s="620"/>
      <c r="G4" s="620"/>
      <c r="H4" s="620"/>
      <c r="I4" s="621"/>
      <c r="J4" s="592" t="s">
        <v>190</v>
      </c>
      <c r="K4" s="604"/>
      <c r="L4" s="99">
        <v>1</v>
      </c>
      <c r="M4" s="57" t="s">
        <v>123</v>
      </c>
      <c r="N4" s="88" t="s">
        <v>567</v>
      </c>
    </row>
    <row r="5" spans="1:17" ht="20.100000000000001" customHeight="1">
      <c r="A5" s="575" t="s">
        <v>22</v>
      </c>
      <c r="B5" s="576"/>
      <c r="C5" s="576"/>
      <c r="D5" s="95">
        <v>0</v>
      </c>
      <c r="E5" s="629" t="s">
        <v>23</v>
      </c>
      <c r="F5" s="576"/>
      <c r="G5" s="576"/>
      <c r="H5" s="627">
        <v>0</v>
      </c>
      <c r="I5" s="628"/>
      <c r="J5" s="511" t="s">
        <v>191</v>
      </c>
      <c r="K5" s="605"/>
      <c r="L5" s="605"/>
      <c r="M5" s="588">
        <f>M3*L4</f>
        <v>0</v>
      </c>
      <c r="N5" s="589"/>
    </row>
    <row r="6" spans="1:17" ht="20.100000000000001" customHeight="1">
      <c r="A6" s="575" t="s">
        <v>192</v>
      </c>
      <c r="B6" s="576"/>
      <c r="C6" s="381" t="s">
        <v>688</v>
      </c>
      <c r="D6" s="95">
        <v>0</v>
      </c>
      <c r="E6" s="593" t="s">
        <v>98</v>
      </c>
      <c r="F6" s="594"/>
      <c r="G6" s="594"/>
      <c r="H6" s="96">
        <v>0</v>
      </c>
      <c r="I6" s="396" t="s">
        <v>195</v>
      </c>
      <c r="J6" s="35" t="s">
        <v>196</v>
      </c>
      <c r="K6" s="100" t="s">
        <v>274</v>
      </c>
      <c r="L6" s="101">
        <v>2.8000000000000001E-2</v>
      </c>
      <c r="M6" s="613">
        <f>M5*L6</f>
        <v>0</v>
      </c>
      <c r="N6" s="614"/>
    </row>
    <row r="7" spans="1:17" ht="20.100000000000001" customHeight="1">
      <c r="A7" s="577"/>
      <c r="B7" s="576"/>
      <c r="C7" s="381" t="s">
        <v>275</v>
      </c>
      <c r="D7" s="95">
        <v>0</v>
      </c>
      <c r="E7" s="632" t="s">
        <v>124</v>
      </c>
      <c r="F7" s="633"/>
      <c r="G7" s="633"/>
      <c r="H7" s="96">
        <v>0</v>
      </c>
      <c r="I7" s="396" t="s">
        <v>276</v>
      </c>
      <c r="J7" s="35" t="s">
        <v>277</v>
      </c>
      <c r="K7" s="100" t="s">
        <v>99</v>
      </c>
      <c r="L7" s="101">
        <v>4.4999999999999998E-2</v>
      </c>
      <c r="M7" s="590">
        <f>(M5+M6)*L7*(1+L10)*(1+L11)/(1-(L7+L8+L9)*(1+L10)*(1+L11))</f>
        <v>0</v>
      </c>
      <c r="N7" s="591"/>
    </row>
    <row r="8" spans="1:17" ht="20.100000000000001" customHeight="1">
      <c r="A8" s="595" t="s">
        <v>237</v>
      </c>
      <c r="B8" s="596"/>
      <c r="C8" s="382" t="s">
        <v>238</v>
      </c>
      <c r="D8" s="112">
        <v>0</v>
      </c>
      <c r="E8" s="598" t="s">
        <v>239</v>
      </c>
      <c r="F8" s="596"/>
      <c r="G8" s="596"/>
      <c r="H8" s="210">
        <v>0</v>
      </c>
      <c r="I8" s="397" t="s">
        <v>240</v>
      </c>
      <c r="J8" s="35" t="s">
        <v>241</v>
      </c>
      <c r="K8" s="100" t="s">
        <v>99</v>
      </c>
      <c r="L8" s="101">
        <v>4.4999999999999998E-2</v>
      </c>
      <c r="M8" s="590">
        <f>(M5+M6)*L8*(1+L10)*(1+L11)/(1-(L7+L8+L9)*(1+L10)*(1+L11))</f>
        <v>0</v>
      </c>
      <c r="N8" s="591"/>
    </row>
    <row r="9" spans="1:17" ht="20.100000000000001" customHeight="1">
      <c r="A9" s="580" t="s">
        <v>242</v>
      </c>
      <c r="B9" s="597" t="s">
        <v>24</v>
      </c>
      <c r="C9" s="572"/>
      <c r="D9" s="392" t="s">
        <v>25</v>
      </c>
      <c r="E9" s="562" t="s">
        <v>26</v>
      </c>
      <c r="F9" s="572"/>
      <c r="G9" s="562" t="s">
        <v>27</v>
      </c>
      <c r="H9" s="578"/>
      <c r="I9" s="579"/>
      <c r="J9" s="35" t="s">
        <v>278</v>
      </c>
      <c r="K9" s="100" t="s">
        <v>99</v>
      </c>
      <c r="L9" s="101">
        <v>1.2E-2</v>
      </c>
      <c r="M9" s="630">
        <f>(M5+M6)*L9*(1+L10)*(1+L11)/(1-(L7+L8+L9)*(1+L10)*(1+L11))</f>
        <v>0</v>
      </c>
      <c r="N9" s="631"/>
    </row>
    <row r="10" spans="1:17" ht="20.100000000000001" customHeight="1">
      <c r="A10" s="581"/>
      <c r="B10" s="529" t="s">
        <v>28</v>
      </c>
      <c r="C10" s="530"/>
      <c r="D10" s="97">
        <v>1.34E-2</v>
      </c>
      <c r="E10" s="574">
        <v>0.4</v>
      </c>
      <c r="F10" s="637"/>
      <c r="G10" s="568">
        <f>D10*E10</f>
        <v>5.3600000000000002E-3</v>
      </c>
      <c r="H10" s="568"/>
      <c r="I10" s="636">
        <f>G10+G11+G12</f>
        <v>1.6840000000000001E-2</v>
      </c>
      <c r="J10" s="35" t="s">
        <v>244</v>
      </c>
      <c r="K10" s="102" t="s">
        <v>119</v>
      </c>
      <c r="L10" s="103">
        <f>I10*G13*H8</f>
        <v>0</v>
      </c>
      <c r="M10" s="634">
        <f>(M5+M6+M7+M8+M9)*L10</f>
        <v>0</v>
      </c>
      <c r="N10" s="635"/>
    </row>
    <row r="11" spans="1:17" ht="20.100000000000001" customHeight="1">
      <c r="A11" s="581"/>
      <c r="B11" s="529" t="s">
        <v>29</v>
      </c>
      <c r="C11" s="530"/>
      <c r="D11" s="97">
        <v>2.87E-2</v>
      </c>
      <c r="E11" s="574">
        <v>0.4</v>
      </c>
      <c r="F11" s="574"/>
      <c r="G11" s="568">
        <f>D11*E11</f>
        <v>1.1480000000000001E-2</v>
      </c>
      <c r="H11" s="568"/>
      <c r="I11" s="636"/>
      <c r="J11" s="35" t="s">
        <v>245</v>
      </c>
      <c r="K11" s="104" t="s">
        <v>279</v>
      </c>
      <c r="L11" s="105">
        <v>0.12</v>
      </c>
      <c r="M11" s="588">
        <f>(M5+M6+M7+M8+M9+M10)*L11</f>
        <v>0</v>
      </c>
      <c r="N11" s="589"/>
    </row>
    <row r="12" spans="1:17" ht="20.100000000000001" customHeight="1">
      <c r="A12" s="581"/>
      <c r="B12" s="529" t="s">
        <v>30</v>
      </c>
      <c r="C12" s="530"/>
      <c r="D12" s="98">
        <v>0</v>
      </c>
      <c r="E12" s="574">
        <v>0.2</v>
      </c>
      <c r="F12" s="574"/>
      <c r="G12" s="568">
        <f>D12*E12</f>
        <v>0</v>
      </c>
      <c r="H12" s="568"/>
      <c r="I12" s="636"/>
      <c r="J12" s="592" t="s">
        <v>280</v>
      </c>
      <c r="K12" s="512"/>
      <c r="L12" s="512"/>
      <c r="M12" s="590">
        <f>(M5+M6+M7+M8+M9)+M10+M11</f>
        <v>0</v>
      </c>
      <c r="N12" s="591"/>
    </row>
    <row r="13" spans="1:17" ht="20.100000000000001" customHeight="1">
      <c r="A13" s="581"/>
      <c r="B13" s="531" t="s">
        <v>126</v>
      </c>
      <c r="C13" s="573"/>
      <c r="D13" s="573"/>
      <c r="E13" s="573"/>
      <c r="F13" s="573"/>
      <c r="G13" s="569">
        <v>0.5</v>
      </c>
      <c r="H13" s="570"/>
      <c r="I13" s="571"/>
      <c r="J13" s="531" t="s">
        <v>127</v>
      </c>
      <c r="K13" s="601"/>
      <c r="L13" s="601"/>
      <c r="M13" s="599" t="e">
        <f>M12-F20</f>
        <v>#DIV/0!</v>
      </c>
      <c r="N13" s="600"/>
    </row>
    <row r="14" spans="1:17" ht="20.100000000000001" customHeight="1">
      <c r="A14" s="566" t="s">
        <v>281</v>
      </c>
      <c r="B14" s="567"/>
      <c r="C14" s="567"/>
      <c r="D14" s="567"/>
      <c r="E14" s="567"/>
      <c r="F14" s="567"/>
      <c r="G14" s="567"/>
      <c r="H14" s="567"/>
      <c r="I14" s="567"/>
      <c r="J14" s="586" t="s">
        <v>282</v>
      </c>
      <c r="K14" s="587"/>
      <c r="L14" s="587"/>
      <c r="M14" s="587"/>
      <c r="N14" s="587"/>
    </row>
    <row r="15" spans="1:17" ht="20.100000000000001" customHeight="1">
      <c r="A15" s="564" t="s">
        <v>250</v>
      </c>
      <c r="B15" s="565"/>
      <c r="C15" s="565"/>
      <c r="D15" s="562" t="s">
        <v>251</v>
      </c>
      <c r="E15" s="572"/>
      <c r="F15" s="562" t="s">
        <v>252</v>
      </c>
      <c r="G15" s="572"/>
      <c r="H15" s="562" t="s">
        <v>253</v>
      </c>
      <c r="I15" s="563"/>
      <c r="J15" s="584" t="s">
        <v>392</v>
      </c>
      <c r="K15" s="585"/>
      <c r="L15" s="585"/>
      <c r="M15" s="582">
        <v>121000000</v>
      </c>
      <c r="N15" s="583"/>
    </row>
    <row r="16" spans="1:17" ht="20.100000000000001" customHeight="1">
      <c r="A16" s="106"/>
      <c r="B16" s="38" t="s">
        <v>255</v>
      </c>
      <c r="C16" s="107"/>
      <c r="D16" s="557"/>
      <c r="E16" s="557"/>
      <c r="F16" s="557"/>
      <c r="G16" s="557"/>
      <c r="H16" s="558"/>
      <c r="I16" s="559"/>
      <c r="J16" s="548" t="s">
        <v>391</v>
      </c>
      <c r="K16" s="549"/>
      <c r="L16" s="549"/>
      <c r="M16" s="535">
        <f>M15+N21+N22+N24</f>
        <v>121000000</v>
      </c>
      <c r="N16" s="536"/>
    </row>
    <row r="17" spans="1:14" ht="20.100000000000001" customHeight="1">
      <c r="A17" s="529" t="s">
        <v>31</v>
      </c>
      <c r="B17" s="530"/>
      <c r="C17" s="530"/>
      <c r="D17" s="560" t="s">
        <v>257</v>
      </c>
      <c r="E17" s="561"/>
      <c r="F17" s="547" t="s">
        <v>258</v>
      </c>
      <c r="G17" s="530"/>
      <c r="H17" s="555">
        <v>0.1</v>
      </c>
      <c r="I17" s="556"/>
      <c r="J17" s="550"/>
      <c r="K17" s="551"/>
      <c r="L17" s="551"/>
      <c r="M17" s="521"/>
      <c r="N17" s="522"/>
    </row>
    <row r="18" spans="1:14" ht="20.100000000000001" customHeight="1">
      <c r="A18" s="544" t="s">
        <v>259</v>
      </c>
      <c r="B18" s="545"/>
      <c r="C18" s="545"/>
      <c r="D18" s="552" t="s">
        <v>283</v>
      </c>
      <c r="E18" s="553"/>
      <c r="F18" s="553"/>
      <c r="G18" s="553"/>
      <c r="H18" s="553"/>
      <c r="I18" s="554"/>
      <c r="J18" s="548" t="s">
        <v>284</v>
      </c>
      <c r="K18" s="549"/>
      <c r="L18" s="549"/>
      <c r="M18" s="519">
        <v>130</v>
      </c>
      <c r="N18" s="520"/>
    </row>
    <row r="19" spans="1:14" ht="20.100000000000001" customHeight="1">
      <c r="A19" s="546"/>
      <c r="B19" s="545"/>
      <c r="C19" s="545"/>
      <c r="D19" s="553"/>
      <c r="E19" s="553"/>
      <c r="F19" s="553"/>
      <c r="G19" s="553"/>
      <c r="H19" s="553"/>
      <c r="I19" s="554"/>
      <c r="J19" s="550"/>
      <c r="K19" s="551"/>
      <c r="L19" s="551"/>
      <c r="M19" s="521"/>
      <c r="N19" s="522"/>
    </row>
    <row r="20" spans="1:14" ht="20.100000000000001" customHeight="1">
      <c r="A20" s="531" t="s">
        <v>263</v>
      </c>
      <c r="B20" s="532"/>
      <c r="C20" s="532"/>
      <c r="D20" s="532"/>
      <c r="E20" s="532"/>
      <c r="F20" s="533" t="e">
        <f>(1-H17)/H16*D16*M12</f>
        <v>#DIV/0!</v>
      </c>
      <c r="G20" s="533"/>
      <c r="H20" s="533"/>
      <c r="I20" s="534"/>
      <c r="J20" s="513" t="s">
        <v>264</v>
      </c>
      <c r="K20" s="514"/>
      <c r="L20" s="514"/>
      <c r="M20" s="503">
        <f>ROUND(M16/M18,0)</f>
        <v>930769</v>
      </c>
      <c r="N20" s="504"/>
    </row>
    <row r="21" spans="1:14" ht="20.100000000000001" customHeight="1">
      <c r="A21" s="505" t="s">
        <v>131</v>
      </c>
      <c r="B21" s="507" t="s">
        <v>132</v>
      </c>
      <c r="C21" s="508"/>
      <c r="D21" s="508"/>
      <c r="E21" s="508"/>
      <c r="F21" s="508"/>
      <c r="G21" s="508"/>
      <c r="H21" s="509" t="e">
        <f>M16/H7*3.3058</f>
        <v>#DIV/0!</v>
      </c>
      <c r="I21" s="510"/>
      <c r="J21" s="542" t="s">
        <v>265</v>
      </c>
      <c r="K21" s="515" t="s">
        <v>233</v>
      </c>
      <c r="L21" s="516"/>
      <c r="M21" s="516"/>
      <c r="N21" s="72">
        <v>0</v>
      </c>
    </row>
    <row r="22" spans="1:14" ht="20.100000000000001" customHeight="1">
      <c r="A22" s="506"/>
      <c r="B22" s="511" t="s">
        <v>133</v>
      </c>
      <c r="C22" s="512"/>
      <c r="D22" s="512"/>
      <c r="E22" s="512"/>
      <c r="F22" s="512"/>
      <c r="G22" s="512"/>
      <c r="H22" s="540"/>
      <c r="I22" s="541"/>
      <c r="J22" s="543"/>
      <c r="K22" s="517" t="s">
        <v>267</v>
      </c>
      <c r="L22" s="518"/>
      <c r="M22" s="518"/>
      <c r="N22" s="93">
        <v>0</v>
      </c>
    </row>
    <row r="23" spans="1:14" ht="20.100000000000001" customHeight="1">
      <c r="A23" s="506"/>
      <c r="B23" s="523"/>
      <c r="C23" s="524"/>
      <c r="D23" s="524"/>
      <c r="E23" s="524"/>
      <c r="F23" s="524"/>
      <c r="G23" s="524"/>
      <c r="H23" s="524"/>
      <c r="I23" s="525"/>
      <c r="J23" s="543"/>
      <c r="K23" s="517" t="s">
        <v>267</v>
      </c>
      <c r="L23" s="539"/>
      <c r="M23" s="539"/>
      <c r="N23" s="93">
        <v>0</v>
      </c>
    </row>
    <row r="24" spans="1:14" ht="20.100000000000001" customHeight="1">
      <c r="A24" s="506"/>
      <c r="B24" s="526"/>
      <c r="C24" s="527"/>
      <c r="D24" s="527"/>
      <c r="E24" s="527"/>
      <c r="F24" s="527"/>
      <c r="G24" s="527"/>
      <c r="H24" s="527"/>
      <c r="I24" s="528"/>
      <c r="J24" s="543"/>
      <c r="K24" s="537" t="s">
        <v>267</v>
      </c>
      <c r="L24" s="538"/>
      <c r="M24" s="538"/>
      <c r="N24" s="94">
        <v>0</v>
      </c>
    </row>
    <row r="25" spans="1:14" ht="24" customHeight="1">
      <c r="A25" s="501" t="s">
        <v>659</v>
      </c>
      <c r="B25" s="502"/>
      <c r="C25" s="502"/>
      <c r="D25" s="502"/>
      <c r="E25" s="502"/>
      <c r="F25" s="502"/>
      <c r="G25" s="502"/>
      <c r="H25" s="502"/>
      <c r="I25" s="502"/>
      <c r="J25" s="502"/>
      <c r="K25" s="502"/>
      <c r="L25" s="502"/>
      <c r="M25" s="502"/>
      <c r="N25" s="502"/>
    </row>
    <row r="26" spans="1:14" ht="20.25" customHeight="1">
      <c r="K26" s="155" t="s">
        <v>660</v>
      </c>
    </row>
    <row r="34" spans="8:8">
      <c r="H34" s="113"/>
    </row>
  </sheetData>
  <mergeCells count="84">
    <mergeCell ref="G11:H11"/>
    <mergeCell ref="G10:H10"/>
    <mergeCell ref="M8:N8"/>
    <mergeCell ref="M9:N9"/>
    <mergeCell ref="E7:G7"/>
    <mergeCell ref="M10:N10"/>
    <mergeCell ref="E9:F9"/>
    <mergeCell ref="I10:I12"/>
    <mergeCell ref="E10:F10"/>
    <mergeCell ref="A1:H1"/>
    <mergeCell ref="A4:C4"/>
    <mergeCell ref="D3:I3"/>
    <mergeCell ref="A5:C5"/>
    <mergeCell ref="D4:I4"/>
    <mergeCell ref="A2:I2"/>
    <mergeCell ref="A3:C3"/>
    <mergeCell ref="H5:I5"/>
    <mergeCell ref="E5:G5"/>
    <mergeCell ref="M13:N13"/>
    <mergeCell ref="J13:L13"/>
    <mergeCell ref="L1:M1"/>
    <mergeCell ref="J4:K4"/>
    <mergeCell ref="M5:N5"/>
    <mergeCell ref="J5:L5"/>
    <mergeCell ref="J2:N2"/>
    <mergeCell ref="J3:L3"/>
    <mergeCell ref="M3:N3"/>
    <mergeCell ref="M7:N7"/>
    <mergeCell ref="M6:N6"/>
    <mergeCell ref="A6:B7"/>
    <mergeCell ref="G9:I9"/>
    <mergeCell ref="A9:A13"/>
    <mergeCell ref="M15:N15"/>
    <mergeCell ref="J15:L15"/>
    <mergeCell ref="J14:N14"/>
    <mergeCell ref="M11:N11"/>
    <mergeCell ref="M12:N12"/>
    <mergeCell ref="J12:L12"/>
    <mergeCell ref="E6:G6"/>
    <mergeCell ref="A8:B8"/>
    <mergeCell ref="E11:F11"/>
    <mergeCell ref="B9:C9"/>
    <mergeCell ref="B10:C10"/>
    <mergeCell ref="B11:C11"/>
    <mergeCell ref="E8:G8"/>
    <mergeCell ref="A15:C15"/>
    <mergeCell ref="A14:I14"/>
    <mergeCell ref="G12:H12"/>
    <mergeCell ref="G13:I13"/>
    <mergeCell ref="D15:E15"/>
    <mergeCell ref="B13:F13"/>
    <mergeCell ref="F15:G15"/>
    <mergeCell ref="B12:C12"/>
    <mergeCell ref="E12:F12"/>
    <mergeCell ref="D16:E16"/>
    <mergeCell ref="F16:G16"/>
    <mergeCell ref="H16:I16"/>
    <mergeCell ref="D17:E17"/>
    <mergeCell ref="H15:I15"/>
    <mergeCell ref="M18:N19"/>
    <mergeCell ref="B23:I24"/>
    <mergeCell ref="A17:C17"/>
    <mergeCell ref="A20:E20"/>
    <mergeCell ref="F20:I20"/>
    <mergeCell ref="M16:N17"/>
    <mergeCell ref="K24:M24"/>
    <mergeCell ref="K23:M23"/>
    <mergeCell ref="H22:I22"/>
    <mergeCell ref="J21:J24"/>
    <mergeCell ref="A18:C19"/>
    <mergeCell ref="F17:G17"/>
    <mergeCell ref="J18:L19"/>
    <mergeCell ref="D18:I19"/>
    <mergeCell ref="H17:I17"/>
    <mergeCell ref="J16:L17"/>
    <mergeCell ref="A25:N25"/>
    <mergeCell ref="M20:N20"/>
    <mergeCell ref="A21:A24"/>
    <mergeCell ref="B21:G21"/>
    <mergeCell ref="H21:I21"/>
    <mergeCell ref="B22:G22"/>
    <mergeCell ref="J20:L20"/>
    <mergeCell ref="K21:M21"/>
    <mergeCell ref="K22:M22"/>
  </mergeCells>
  <phoneticPr fontId="3" type="noConversion"/>
  <printOptions horizontalCentered="1" verticalCentered="1"/>
  <pageMargins left="0.23622047244094491" right="0.23622047244094491" top="0.35" bottom="0.33" header="0.31496062992125984" footer="0.31496062992125984"/>
  <pageSetup paperSize="9"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95C42-E136-42DF-B28E-1AA4E5756648}">
  <sheetPr>
    <tabColor indexed="48"/>
    <pageSetUpPr fitToPage="1"/>
  </sheetPr>
  <dimension ref="A1:Q34"/>
  <sheetViews>
    <sheetView topLeftCell="A13" zoomScale="85" workbookViewId="0">
      <selection activeCell="O2" sqref="O2:Q2"/>
    </sheetView>
  </sheetViews>
  <sheetFormatPr defaultRowHeight="15.75"/>
  <cols>
    <col min="1" max="1" width="6.625" style="32" customWidth="1"/>
    <col min="2" max="2" width="3.875" style="32" customWidth="1"/>
    <col min="3" max="3" width="6.375" style="32" customWidth="1"/>
    <col min="4" max="4" width="7.625" style="32" customWidth="1"/>
    <col min="5" max="5" width="8.125" style="32" customWidth="1"/>
    <col min="6" max="6" width="6.375" style="32" customWidth="1"/>
    <col min="7" max="7" width="8.125" style="32" customWidth="1"/>
    <col min="8" max="8" width="12.625" style="32" customWidth="1"/>
    <col min="9" max="9" width="7.875" style="32" customWidth="1"/>
    <col min="10" max="10" width="19.625" style="32" customWidth="1"/>
    <col min="11" max="11" width="20.625" style="32" customWidth="1"/>
    <col min="12" max="12" width="7.125" style="32" customWidth="1"/>
    <col min="13" max="13" width="10.125" style="32" customWidth="1"/>
    <col min="14" max="14" width="15.75" style="32" customWidth="1"/>
    <col min="15" max="16384" width="9" style="32"/>
  </cols>
  <sheetData>
    <row r="1" spans="1:17" ht="21">
      <c r="A1" s="615" t="s">
        <v>657</v>
      </c>
      <c r="B1" s="616"/>
      <c r="C1" s="616"/>
      <c r="D1" s="616"/>
      <c r="E1" s="616"/>
      <c r="F1" s="616"/>
      <c r="G1" s="616"/>
      <c r="H1" s="616"/>
      <c r="I1" s="154" t="s">
        <v>36</v>
      </c>
      <c r="J1" s="75">
        <v>1040301</v>
      </c>
      <c r="K1" s="30" t="s">
        <v>521</v>
      </c>
      <c r="L1" s="638" t="s">
        <v>34</v>
      </c>
      <c r="M1" s="639"/>
      <c r="N1" s="31">
        <v>34</v>
      </c>
    </row>
    <row r="2" spans="1:17" ht="20.100000000000001" customHeight="1">
      <c r="A2" s="622" t="s">
        <v>120</v>
      </c>
      <c r="B2" s="623"/>
      <c r="C2" s="623"/>
      <c r="D2" s="623"/>
      <c r="E2" s="623"/>
      <c r="F2" s="623"/>
      <c r="G2" s="623"/>
      <c r="H2" s="623"/>
      <c r="I2" s="624"/>
      <c r="J2" s="640" t="s">
        <v>35</v>
      </c>
      <c r="K2" s="641"/>
      <c r="L2" s="641"/>
      <c r="M2" s="641"/>
      <c r="N2" s="642"/>
      <c r="O2" s="442"/>
      <c r="P2" s="442"/>
      <c r="Q2" s="442"/>
    </row>
    <row r="3" spans="1:17" ht="20.100000000000001" customHeight="1">
      <c r="A3" s="625" t="s">
        <v>97</v>
      </c>
      <c r="B3" s="626"/>
      <c r="C3" s="626"/>
      <c r="D3" s="617" t="str">
        <f>[1]比較!G5</f>
        <v>台北市中山區XX段X小段XXX地號</v>
      </c>
      <c r="E3" s="617"/>
      <c r="F3" s="617"/>
      <c r="G3" s="617"/>
      <c r="H3" s="617"/>
      <c r="I3" s="618"/>
      <c r="J3" s="609" t="s">
        <v>189</v>
      </c>
      <c r="K3" s="610"/>
      <c r="L3" s="610"/>
      <c r="M3" s="611">
        <v>0</v>
      </c>
      <c r="N3" s="612"/>
    </row>
    <row r="4" spans="1:17" ht="20.100000000000001" customHeight="1">
      <c r="A4" s="575" t="s">
        <v>121</v>
      </c>
      <c r="B4" s="576"/>
      <c r="C4" s="576"/>
      <c r="D4" s="619" t="s">
        <v>273</v>
      </c>
      <c r="E4" s="620"/>
      <c r="F4" s="620"/>
      <c r="G4" s="620"/>
      <c r="H4" s="620"/>
      <c r="I4" s="621"/>
      <c r="J4" s="592" t="s">
        <v>190</v>
      </c>
      <c r="K4" s="604"/>
      <c r="L4" s="99">
        <v>1</v>
      </c>
      <c r="M4" s="57" t="s">
        <v>123</v>
      </c>
      <c r="N4" s="88" t="s">
        <v>572</v>
      </c>
    </row>
    <row r="5" spans="1:17" ht="20.100000000000001" customHeight="1">
      <c r="A5" s="575" t="s">
        <v>22</v>
      </c>
      <c r="B5" s="576"/>
      <c r="C5" s="576"/>
      <c r="D5" s="95">
        <v>0</v>
      </c>
      <c r="E5" s="629" t="s">
        <v>23</v>
      </c>
      <c r="F5" s="576"/>
      <c r="G5" s="576"/>
      <c r="H5" s="627">
        <v>0</v>
      </c>
      <c r="I5" s="628"/>
      <c r="J5" s="511" t="s">
        <v>191</v>
      </c>
      <c r="K5" s="605"/>
      <c r="L5" s="605"/>
      <c r="M5" s="588">
        <f>M3*L4</f>
        <v>0</v>
      </c>
      <c r="N5" s="589"/>
    </row>
    <row r="6" spans="1:17" ht="20.100000000000001" customHeight="1">
      <c r="A6" s="575" t="s">
        <v>192</v>
      </c>
      <c r="B6" s="576"/>
      <c r="C6" s="381" t="s">
        <v>193</v>
      </c>
      <c r="D6" s="95">
        <v>0</v>
      </c>
      <c r="E6" s="593" t="s">
        <v>98</v>
      </c>
      <c r="F6" s="594"/>
      <c r="G6" s="594"/>
      <c r="H6" s="96">
        <v>0</v>
      </c>
      <c r="I6" s="396" t="s">
        <v>195</v>
      </c>
      <c r="J6" s="35" t="s">
        <v>196</v>
      </c>
      <c r="K6" s="100" t="s">
        <v>274</v>
      </c>
      <c r="L6" s="101">
        <v>2.8000000000000001E-2</v>
      </c>
      <c r="M6" s="613">
        <f>M5*L6</f>
        <v>0</v>
      </c>
      <c r="N6" s="614"/>
    </row>
    <row r="7" spans="1:17" ht="20.100000000000001" customHeight="1">
      <c r="A7" s="577"/>
      <c r="B7" s="576"/>
      <c r="C7" s="381" t="s">
        <v>198</v>
      </c>
      <c r="D7" s="95">
        <v>0</v>
      </c>
      <c r="E7" s="632" t="s">
        <v>124</v>
      </c>
      <c r="F7" s="633"/>
      <c r="G7" s="633"/>
      <c r="H7" s="96">
        <v>0</v>
      </c>
      <c r="I7" s="396" t="s">
        <v>195</v>
      </c>
      <c r="J7" s="35" t="s">
        <v>206</v>
      </c>
      <c r="K7" s="100" t="s">
        <v>99</v>
      </c>
      <c r="L7" s="101">
        <v>4.4999999999999998E-2</v>
      </c>
      <c r="M7" s="590">
        <f>(M5+M6)*L7*(1+L10)*(1+L11)/(1-(L7+L8+L9)*(1+L10)*(1+L11))</f>
        <v>0</v>
      </c>
      <c r="N7" s="591"/>
    </row>
    <row r="8" spans="1:17" ht="20.100000000000001" customHeight="1">
      <c r="A8" s="595" t="s">
        <v>202</v>
      </c>
      <c r="B8" s="596"/>
      <c r="C8" s="382" t="s">
        <v>203</v>
      </c>
      <c r="D8" s="112">
        <v>0</v>
      </c>
      <c r="E8" s="598" t="s">
        <v>204</v>
      </c>
      <c r="F8" s="596"/>
      <c r="G8" s="596"/>
      <c r="H8" s="210">
        <v>0</v>
      </c>
      <c r="I8" s="397" t="s">
        <v>205</v>
      </c>
      <c r="J8" s="35" t="s">
        <v>209</v>
      </c>
      <c r="K8" s="100" t="s">
        <v>99</v>
      </c>
      <c r="L8" s="101">
        <v>4.4999999999999998E-2</v>
      </c>
      <c r="M8" s="590">
        <f>(M5+M6)*L8*(1+L10)*(1+L11)/(1-(L7+L8+L9)*(1+L10)*(1+L11))</f>
        <v>0</v>
      </c>
      <c r="N8" s="591"/>
    </row>
    <row r="9" spans="1:17" ht="20.100000000000001" customHeight="1">
      <c r="A9" s="580" t="s">
        <v>208</v>
      </c>
      <c r="B9" s="597" t="s">
        <v>24</v>
      </c>
      <c r="C9" s="572"/>
      <c r="D9" s="392" t="s">
        <v>25</v>
      </c>
      <c r="E9" s="562" t="s">
        <v>26</v>
      </c>
      <c r="F9" s="572"/>
      <c r="G9" s="562" t="s">
        <v>27</v>
      </c>
      <c r="H9" s="578"/>
      <c r="I9" s="579"/>
      <c r="J9" s="35" t="s">
        <v>271</v>
      </c>
      <c r="K9" s="100" t="s">
        <v>99</v>
      </c>
      <c r="L9" s="101">
        <v>1.2E-2</v>
      </c>
      <c r="M9" s="630">
        <f>(M5+M6)*L9*(1+L10)*(1+L11)/(1-(L7+L8+L9)*(1+L10)*(1+L11))</f>
        <v>0</v>
      </c>
      <c r="N9" s="631"/>
    </row>
    <row r="10" spans="1:17" ht="20.100000000000001" customHeight="1">
      <c r="A10" s="581"/>
      <c r="B10" s="529" t="s">
        <v>28</v>
      </c>
      <c r="C10" s="530"/>
      <c r="D10" s="97">
        <v>1.34E-2</v>
      </c>
      <c r="E10" s="574">
        <v>0.4</v>
      </c>
      <c r="F10" s="637"/>
      <c r="G10" s="568">
        <f>D10*E10</f>
        <v>5.3600000000000002E-3</v>
      </c>
      <c r="H10" s="568"/>
      <c r="I10" s="636">
        <f>G10+G11+G12</f>
        <v>1.6840000000000001E-2</v>
      </c>
      <c r="J10" s="35" t="s">
        <v>213</v>
      </c>
      <c r="K10" s="102" t="s">
        <v>119</v>
      </c>
      <c r="L10" s="103">
        <f>I10*G13*H8</f>
        <v>0</v>
      </c>
      <c r="M10" s="634">
        <f>(M5+M6+M7+M8+M9)*L10</f>
        <v>0</v>
      </c>
      <c r="N10" s="635"/>
    </row>
    <row r="11" spans="1:17" ht="20.100000000000001" customHeight="1">
      <c r="A11" s="581"/>
      <c r="B11" s="529" t="s">
        <v>29</v>
      </c>
      <c r="C11" s="530"/>
      <c r="D11" s="97">
        <v>2.87E-2</v>
      </c>
      <c r="E11" s="574">
        <v>0.4</v>
      </c>
      <c r="F11" s="574"/>
      <c r="G11" s="568">
        <f>D11*E11</f>
        <v>1.1480000000000001E-2</v>
      </c>
      <c r="H11" s="568"/>
      <c r="I11" s="636"/>
      <c r="J11" s="35" t="s">
        <v>216</v>
      </c>
      <c r="K11" s="104" t="s">
        <v>279</v>
      </c>
      <c r="L11" s="105">
        <v>0.12</v>
      </c>
      <c r="M11" s="588">
        <f>(M5+M6+M7+M8+M9+M10)*L11</f>
        <v>0</v>
      </c>
      <c r="N11" s="589"/>
    </row>
    <row r="12" spans="1:17" ht="20.100000000000001" customHeight="1">
      <c r="A12" s="581"/>
      <c r="B12" s="529" t="s">
        <v>30</v>
      </c>
      <c r="C12" s="530"/>
      <c r="D12" s="98">
        <v>0</v>
      </c>
      <c r="E12" s="574">
        <v>0.2</v>
      </c>
      <c r="F12" s="574"/>
      <c r="G12" s="568">
        <f>D12*E12</f>
        <v>0</v>
      </c>
      <c r="H12" s="568"/>
      <c r="I12" s="636"/>
      <c r="J12" s="592" t="s">
        <v>247</v>
      </c>
      <c r="K12" s="512"/>
      <c r="L12" s="512"/>
      <c r="M12" s="590">
        <f>(M5+M6+M7+M8+M9)+M10+M11</f>
        <v>0</v>
      </c>
      <c r="N12" s="591"/>
    </row>
    <row r="13" spans="1:17" ht="20.100000000000001" customHeight="1">
      <c r="A13" s="581"/>
      <c r="B13" s="531" t="s">
        <v>126</v>
      </c>
      <c r="C13" s="573"/>
      <c r="D13" s="573"/>
      <c r="E13" s="573"/>
      <c r="F13" s="573"/>
      <c r="G13" s="569">
        <v>0.5</v>
      </c>
      <c r="H13" s="570"/>
      <c r="I13" s="571"/>
      <c r="J13" s="531" t="s">
        <v>127</v>
      </c>
      <c r="K13" s="601"/>
      <c r="L13" s="601"/>
      <c r="M13" s="599" t="e">
        <f>M12-F20</f>
        <v>#DIV/0!</v>
      </c>
      <c r="N13" s="600"/>
    </row>
    <row r="14" spans="1:17" ht="20.100000000000001" customHeight="1">
      <c r="A14" s="566" t="s">
        <v>281</v>
      </c>
      <c r="B14" s="567"/>
      <c r="C14" s="567"/>
      <c r="D14" s="567"/>
      <c r="E14" s="567"/>
      <c r="F14" s="567"/>
      <c r="G14" s="567"/>
      <c r="H14" s="567"/>
      <c r="I14" s="567"/>
      <c r="J14" s="586" t="s">
        <v>282</v>
      </c>
      <c r="K14" s="587"/>
      <c r="L14" s="587"/>
      <c r="M14" s="587"/>
      <c r="N14" s="587"/>
    </row>
    <row r="15" spans="1:17" ht="20.100000000000001" customHeight="1">
      <c r="A15" s="564" t="s">
        <v>219</v>
      </c>
      <c r="B15" s="565"/>
      <c r="C15" s="565"/>
      <c r="D15" s="562" t="s">
        <v>220</v>
      </c>
      <c r="E15" s="572"/>
      <c r="F15" s="562" t="s">
        <v>221</v>
      </c>
      <c r="G15" s="572"/>
      <c r="H15" s="562" t="s">
        <v>222</v>
      </c>
      <c r="I15" s="563"/>
      <c r="J15" s="584" t="s">
        <v>254</v>
      </c>
      <c r="K15" s="585"/>
      <c r="L15" s="585"/>
      <c r="M15" s="582">
        <v>9424000</v>
      </c>
      <c r="N15" s="583"/>
    </row>
    <row r="16" spans="1:17" ht="20.100000000000001" customHeight="1">
      <c r="A16" s="106">
        <v>100</v>
      </c>
      <c r="B16" s="38" t="s">
        <v>223</v>
      </c>
      <c r="C16" s="107">
        <v>3</v>
      </c>
      <c r="D16" s="557"/>
      <c r="E16" s="557"/>
      <c r="F16" s="557"/>
      <c r="G16" s="557"/>
      <c r="H16" s="558"/>
      <c r="I16" s="559"/>
      <c r="J16" s="548" t="s">
        <v>391</v>
      </c>
      <c r="K16" s="549"/>
      <c r="L16" s="549"/>
      <c r="M16" s="535">
        <f>M15+N21+N22+N24</f>
        <v>9424000</v>
      </c>
      <c r="N16" s="536"/>
    </row>
    <row r="17" spans="1:14" ht="20.100000000000001" customHeight="1">
      <c r="A17" s="529" t="s">
        <v>31</v>
      </c>
      <c r="B17" s="530"/>
      <c r="C17" s="530"/>
      <c r="D17" s="560" t="s">
        <v>225</v>
      </c>
      <c r="E17" s="561"/>
      <c r="F17" s="547" t="s">
        <v>226</v>
      </c>
      <c r="G17" s="530"/>
      <c r="H17" s="555">
        <v>0.1</v>
      </c>
      <c r="I17" s="556"/>
      <c r="J17" s="550"/>
      <c r="K17" s="551"/>
      <c r="L17" s="551"/>
      <c r="M17" s="521"/>
      <c r="N17" s="522"/>
    </row>
    <row r="18" spans="1:14" ht="20.100000000000001" customHeight="1">
      <c r="A18" s="544" t="s">
        <v>227</v>
      </c>
      <c r="B18" s="545"/>
      <c r="C18" s="545"/>
      <c r="D18" s="552" t="s">
        <v>283</v>
      </c>
      <c r="E18" s="553"/>
      <c r="F18" s="553"/>
      <c r="G18" s="553"/>
      <c r="H18" s="553"/>
      <c r="I18" s="554"/>
      <c r="J18" s="548" t="s">
        <v>284</v>
      </c>
      <c r="K18" s="549"/>
      <c r="L18" s="549"/>
      <c r="M18" s="519">
        <v>620</v>
      </c>
      <c r="N18" s="520"/>
    </row>
    <row r="19" spans="1:14" ht="20.100000000000001" customHeight="1">
      <c r="A19" s="546"/>
      <c r="B19" s="545"/>
      <c r="C19" s="545"/>
      <c r="D19" s="553"/>
      <c r="E19" s="553"/>
      <c r="F19" s="553"/>
      <c r="G19" s="553"/>
      <c r="H19" s="553"/>
      <c r="I19" s="554"/>
      <c r="J19" s="550"/>
      <c r="K19" s="551"/>
      <c r="L19" s="551"/>
      <c r="M19" s="521"/>
      <c r="N19" s="522"/>
    </row>
    <row r="20" spans="1:14" ht="20.100000000000001" customHeight="1">
      <c r="A20" s="531" t="s">
        <v>263</v>
      </c>
      <c r="B20" s="532"/>
      <c r="C20" s="532"/>
      <c r="D20" s="532"/>
      <c r="E20" s="532"/>
      <c r="F20" s="533" t="e">
        <f>(1-H17)/H16*D16*M12</f>
        <v>#DIV/0!</v>
      </c>
      <c r="G20" s="533"/>
      <c r="H20" s="533"/>
      <c r="I20" s="534"/>
      <c r="J20" s="513" t="s">
        <v>264</v>
      </c>
      <c r="K20" s="514"/>
      <c r="L20" s="514"/>
      <c r="M20" s="503">
        <f>ROUND(M16/M18,0)</f>
        <v>15200</v>
      </c>
      <c r="N20" s="504"/>
    </row>
    <row r="21" spans="1:14" ht="20.100000000000001" customHeight="1">
      <c r="A21" s="505" t="s">
        <v>131</v>
      </c>
      <c r="B21" s="507" t="s">
        <v>132</v>
      </c>
      <c r="C21" s="508"/>
      <c r="D21" s="508"/>
      <c r="E21" s="508"/>
      <c r="F21" s="508"/>
      <c r="G21" s="508"/>
      <c r="H21" s="509" t="e">
        <f>M16/H7*3.3058</f>
        <v>#DIV/0!</v>
      </c>
      <c r="I21" s="510"/>
      <c r="J21" s="542" t="s">
        <v>265</v>
      </c>
      <c r="K21" s="515" t="s">
        <v>8</v>
      </c>
      <c r="L21" s="516"/>
      <c r="M21" s="516"/>
      <c r="N21" s="72">
        <v>0</v>
      </c>
    </row>
    <row r="22" spans="1:14" ht="20.100000000000001" customHeight="1">
      <c r="A22" s="506"/>
      <c r="B22" s="511" t="s">
        <v>133</v>
      </c>
      <c r="C22" s="512"/>
      <c r="D22" s="512"/>
      <c r="E22" s="512"/>
      <c r="F22" s="512"/>
      <c r="G22" s="512"/>
      <c r="H22" s="540"/>
      <c r="I22" s="541"/>
      <c r="J22" s="543"/>
      <c r="K22" s="517" t="s">
        <v>8</v>
      </c>
      <c r="L22" s="518"/>
      <c r="M22" s="518"/>
      <c r="N22" s="93">
        <v>0</v>
      </c>
    </row>
    <row r="23" spans="1:14" ht="20.100000000000001" customHeight="1">
      <c r="A23" s="506"/>
      <c r="B23" s="523"/>
      <c r="C23" s="524"/>
      <c r="D23" s="524"/>
      <c r="E23" s="524"/>
      <c r="F23" s="524"/>
      <c r="G23" s="524"/>
      <c r="H23" s="524"/>
      <c r="I23" s="525"/>
      <c r="J23" s="543"/>
      <c r="K23" s="517" t="s">
        <v>8</v>
      </c>
      <c r="L23" s="539"/>
      <c r="M23" s="539"/>
      <c r="N23" s="93">
        <v>0</v>
      </c>
    </row>
    <row r="24" spans="1:14" ht="20.100000000000001" customHeight="1">
      <c r="A24" s="506"/>
      <c r="B24" s="526"/>
      <c r="C24" s="527"/>
      <c r="D24" s="527"/>
      <c r="E24" s="527"/>
      <c r="F24" s="527"/>
      <c r="G24" s="527"/>
      <c r="H24" s="527"/>
      <c r="I24" s="528"/>
      <c r="J24" s="543"/>
      <c r="K24" s="537" t="s">
        <v>8</v>
      </c>
      <c r="L24" s="538"/>
      <c r="M24" s="538"/>
      <c r="N24" s="94">
        <v>0</v>
      </c>
    </row>
    <row r="25" spans="1:14" ht="24" customHeight="1">
      <c r="A25" s="501" t="s">
        <v>659</v>
      </c>
      <c r="B25" s="502"/>
      <c r="C25" s="502"/>
      <c r="D25" s="502"/>
      <c r="E25" s="502"/>
      <c r="F25" s="502"/>
      <c r="G25" s="502"/>
      <c r="H25" s="502"/>
      <c r="I25" s="502"/>
      <c r="J25" s="502"/>
      <c r="K25" s="502"/>
      <c r="L25" s="502"/>
      <c r="M25" s="502"/>
      <c r="N25" s="502"/>
    </row>
    <row r="26" spans="1:14" ht="20.25" customHeight="1">
      <c r="K26" s="155" t="s">
        <v>660</v>
      </c>
    </row>
    <row r="34" spans="8:8">
      <c r="H34" s="113"/>
    </row>
  </sheetData>
  <mergeCells count="84">
    <mergeCell ref="J3:L3"/>
    <mergeCell ref="J4:K4"/>
    <mergeCell ref="M3:N3"/>
    <mergeCell ref="A1:H1"/>
    <mergeCell ref="L1:M1"/>
    <mergeCell ref="A2:I2"/>
    <mergeCell ref="J2:N2"/>
    <mergeCell ref="A3:C3"/>
    <mergeCell ref="D3:I3"/>
    <mergeCell ref="A4:C4"/>
    <mergeCell ref="D4:I4"/>
    <mergeCell ref="A5:C5"/>
    <mergeCell ref="E5:G5"/>
    <mergeCell ref="A8:B8"/>
    <mergeCell ref="E8:G8"/>
    <mergeCell ref="A6:B7"/>
    <mergeCell ref="E6:G6"/>
    <mergeCell ref="E7:G7"/>
    <mergeCell ref="M9:N9"/>
    <mergeCell ref="M11:N11"/>
    <mergeCell ref="M5:N5"/>
    <mergeCell ref="H5:I5"/>
    <mergeCell ref="J5:L5"/>
    <mergeCell ref="M6:N6"/>
    <mergeCell ref="M7:N7"/>
    <mergeCell ref="M8:N8"/>
    <mergeCell ref="M10:N10"/>
    <mergeCell ref="M12:N12"/>
    <mergeCell ref="E12:F12"/>
    <mergeCell ref="E10:F10"/>
    <mergeCell ref="G10:H10"/>
    <mergeCell ref="G12:H12"/>
    <mergeCell ref="B11:C11"/>
    <mergeCell ref="E11:F11"/>
    <mergeCell ref="G11:H11"/>
    <mergeCell ref="I10:I12"/>
    <mergeCell ref="J12:L12"/>
    <mergeCell ref="J15:L15"/>
    <mergeCell ref="A15:C15"/>
    <mergeCell ref="D15:E15"/>
    <mergeCell ref="A9:A13"/>
    <mergeCell ref="B9:C9"/>
    <mergeCell ref="E9:F9"/>
    <mergeCell ref="G9:I9"/>
    <mergeCell ref="J14:N14"/>
    <mergeCell ref="M15:N15"/>
    <mergeCell ref="M13:N13"/>
    <mergeCell ref="A14:I14"/>
    <mergeCell ref="J13:L13"/>
    <mergeCell ref="B13:F13"/>
    <mergeCell ref="G13:I13"/>
    <mergeCell ref="B10:C10"/>
    <mergeCell ref="B12:C12"/>
    <mergeCell ref="D16:E16"/>
    <mergeCell ref="A17:C17"/>
    <mergeCell ref="F15:G15"/>
    <mergeCell ref="H15:I15"/>
    <mergeCell ref="H16:I16"/>
    <mergeCell ref="D17:E17"/>
    <mergeCell ref="F16:G16"/>
    <mergeCell ref="M16:N17"/>
    <mergeCell ref="F17:G17"/>
    <mergeCell ref="H17:I17"/>
    <mergeCell ref="J18:L19"/>
    <mergeCell ref="M18:N19"/>
    <mergeCell ref="J16:L17"/>
    <mergeCell ref="A25:N25"/>
    <mergeCell ref="A21:A24"/>
    <mergeCell ref="B21:G21"/>
    <mergeCell ref="H21:I21"/>
    <mergeCell ref="J21:J24"/>
    <mergeCell ref="B23:I24"/>
    <mergeCell ref="K24:M24"/>
    <mergeCell ref="K21:M21"/>
    <mergeCell ref="B22:G22"/>
    <mergeCell ref="H22:I22"/>
    <mergeCell ref="K23:M23"/>
    <mergeCell ref="K22:M22"/>
    <mergeCell ref="A18:C19"/>
    <mergeCell ref="D18:I19"/>
    <mergeCell ref="M20:N20"/>
    <mergeCell ref="J20:L20"/>
    <mergeCell ref="A20:E20"/>
    <mergeCell ref="F20:I20"/>
  </mergeCells>
  <phoneticPr fontId="3" type="noConversion"/>
  <printOptions horizontalCentered="1" verticalCentered="1"/>
  <pageMargins left="0.39370078740157483" right="0.23622047244094491" top="0.39370078740157483" bottom="0.35433070866141736" header="0.31496062992125984" footer="0.31496062992125984"/>
  <pageSetup paperSize="9"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9AC8-4E42-454B-907B-97337C996FF3}">
  <sheetPr>
    <tabColor indexed="48"/>
    <pageSetUpPr fitToPage="1"/>
  </sheetPr>
  <dimension ref="A1:Q34"/>
  <sheetViews>
    <sheetView topLeftCell="A16" zoomScale="85" workbookViewId="0">
      <selection activeCell="O2" sqref="O2:Q2"/>
    </sheetView>
  </sheetViews>
  <sheetFormatPr defaultRowHeight="15.75"/>
  <cols>
    <col min="1" max="1" width="6.625" style="32" customWidth="1"/>
    <col min="2" max="2" width="3.875" style="32" customWidth="1"/>
    <col min="3" max="3" width="6.625" style="32" customWidth="1"/>
    <col min="4" max="4" width="7.625" style="32" customWidth="1"/>
    <col min="5" max="5" width="8.125" style="32" customWidth="1"/>
    <col min="6" max="6" width="6.375" style="32" customWidth="1"/>
    <col min="7" max="7" width="8.125" style="32" customWidth="1"/>
    <col min="8" max="8" width="12.625" style="32" customWidth="1"/>
    <col min="9" max="9" width="7.875" style="32" customWidth="1"/>
    <col min="10" max="10" width="19.625" style="32" customWidth="1"/>
    <col min="11" max="11" width="20.625" style="32" customWidth="1"/>
    <col min="12" max="12" width="7.125" style="32" customWidth="1"/>
    <col min="13" max="13" width="10.125" style="32" customWidth="1"/>
    <col min="14" max="14" width="14.5" style="32" customWidth="1"/>
    <col min="15" max="16384" width="9" style="32"/>
  </cols>
  <sheetData>
    <row r="1" spans="1:17" ht="21">
      <c r="A1" s="615" t="s">
        <v>444</v>
      </c>
      <c r="B1" s="616"/>
      <c r="C1" s="616"/>
      <c r="D1" s="616"/>
      <c r="E1" s="616"/>
      <c r="F1" s="616"/>
      <c r="G1" s="616"/>
      <c r="H1" s="616"/>
      <c r="I1" s="154" t="s">
        <v>36</v>
      </c>
      <c r="J1" s="75">
        <v>1040301</v>
      </c>
      <c r="K1" s="30" t="s">
        <v>522</v>
      </c>
      <c r="L1" s="638" t="s">
        <v>34</v>
      </c>
      <c r="M1" s="639"/>
      <c r="N1" s="31">
        <v>56</v>
      </c>
      <c r="O1" s="443"/>
      <c r="P1" s="443"/>
      <c r="Q1" s="443"/>
    </row>
    <row r="2" spans="1:17" ht="20.100000000000001" customHeight="1">
      <c r="A2" s="622" t="s">
        <v>120</v>
      </c>
      <c r="B2" s="623"/>
      <c r="C2" s="623"/>
      <c r="D2" s="623"/>
      <c r="E2" s="623"/>
      <c r="F2" s="623"/>
      <c r="G2" s="623"/>
      <c r="H2" s="623"/>
      <c r="I2" s="624"/>
      <c r="J2" s="640" t="s">
        <v>35</v>
      </c>
      <c r="K2" s="641"/>
      <c r="L2" s="641"/>
      <c r="M2" s="641"/>
      <c r="N2" s="642"/>
      <c r="O2" s="443"/>
      <c r="P2" s="443"/>
      <c r="Q2" s="443"/>
    </row>
    <row r="3" spans="1:17" ht="20.100000000000001" customHeight="1">
      <c r="A3" s="625" t="s">
        <v>97</v>
      </c>
      <c r="B3" s="626"/>
      <c r="C3" s="626"/>
      <c r="D3" s="617" t="str">
        <f>[1]比較!G5</f>
        <v>台北市中山區XX段X小段XXX地號</v>
      </c>
      <c r="E3" s="617"/>
      <c r="F3" s="617"/>
      <c r="G3" s="617"/>
      <c r="H3" s="617"/>
      <c r="I3" s="618"/>
      <c r="J3" s="609" t="s">
        <v>189</v>
      </c>
      <c r="K3" s="610"/>
      <c r="L3" s="610"/>
      <c r="M3" s="611">
        <v>0</v>
      </c>
      <c r="N3" s="612"/>
    </row>
    <row r="4" spans="1:17" ht="20.100000000000001" customHeight="1">
      <c r="A4" s="575" t="s">
        <v>121</v>
      </c>
      <c r="B4" s="576"/>
      <c r="C4" s="576"/>
      <c r="D4" s="619" t="s">
        <v>273</v>
      </c>
      <c r="E4" s="620"/>
      <c r="F4" s="620"/>
      <c r="G4" s="620"/>
      <c r="H4" s="620"/>
      <c r="I4" s="621"/>
      <c r="J4" s="592" t="s">
        <v>190</v>
      </c>
      <c r="K4" s="604"/>
      <c r="L4" s="99">
        <v>1</v>
      </c>
      <c r="M4" s="57" t="s">
        <v>123</v>
      </c>
      <c r="N4" s="88" t="s">
        <v>568</v>
      </c>
    </row>
    <row r="5" spans="1:17" ht="20.100000000000001" customHeight="1">
      <c r="A5" s="575" t="s">
        <v>22</v>
      </c>
      <c r="B5" s="576"/>
      <c r="C5" s="576"/>
      <c r="D5" s="95">
        <v>0</v>
      </c>
      <c r="E5" s="629" t="s">
        <v>23</v>
      </c>
      <c r="F5" s="576"/>
      <c r="G5" s="576"/>
      <c r="H5" s="627">
        <v>0</v>
      </c>
      <c r="I5" s="628"/>
      <c r="J5" s="511" t="s">
        <v>191</v>
      </c>
      <c r="K5" s="605"/>
      <c r="L5" s="605"/>
      <c r="M5" s="588">
        <f>M3*L4</f>
        <v>0</v>
      </c>
      <c r="N5" s="589"/>
    </row>
    <row r="6" spans="1:17" ht="20.100000000000001" customHeight="1">
      <c r="A6" s="575" t="s">
        <v>192</v>
      </c>
      <c r="B6" s="576"/>
      <c r="C6" s="381" t="s">
        <v>193</v>
      </c>
      <c r="D6" s="95">
        <v>0</v>
      </c>
      <c r="E6" s="593" t="s">
        <v>98</v>
      </c>
      <c r="F6" s="594"/>
      <c r="G6" s="594"/>
      <c r="H6" s="96">
        <v>0</v>
      </c>
      <c r="I6" s="396" t="s">
        <v>195</v>
      </c>
      <c r="J6" s="35" t="s">
        <v>196</v>
      </c>
      <c r="K6" s="100" t="s">
        <v>274</v>
      </c>
      <c r="L6" s="101">
        <v>2.8000000000000001E-2</v>
      </c>
      <c r="M6" s="613">
        <f>M5*L6</f>
        <v>0</v>
      </c>
      <c r="N6" s="614"/>
    </row>
    <row r="7" spans="1:17" ht="20.100000000000001" customHeight="1">
      <c r="A7" s="577"/>
      <c r="B7" s="576"/>
      <c r="C7" s="381" t="s">
        <v>198</v>
      </c>
      <c r="D7" s="95">
        <v>0</v>
      </c>
      <c r="E7" s="632" t="s">
        <v>124</v>
      </c>
      <c r="F7" s="633"/>
      <c r="G7" s="633"/>
      <c r="H7" s="96">
        <v>0</v>
      </c>
      <c r="I7" s="396" t="s">
        <v>195</v>
      </c>
      <c r="J7" s="35" t="s">
        <v>206</v>
      </c>
      <c r="K7" s="100" t="s">
        <v>99</v>
      </c>
      <c r="L7" s="101">
        <v>4.4999999999999998E-2</v>
      </c>
      <c r="M7" s="590">
        <f>(M5+M6)*L7*(1+L10)*(1+L11)/(1-(L7+L8+L9)*(1+L10)*(1+L11))</f>
        <v>0</v>
      </c>
      <c r="N7" s="591"/>
    </row>
    <row r="8" spans="1:17" ht="20.100000000000001" customHeight="1">
      <c r="A8" s="595" t="s">
        <v>202</v>
      </c>
      <c r="B8" s="596"/>
      <c r="C8" s="382" t="s">
        <v>203</v>
      </c>
      <c r="D8" s="112">
        <v>0</v>
      </c>
      <c r="E8" s="598" t="s">
        <v>204</v>
      </c>
      <c r="F8" s="596"/>
      <c r="G8" s="596"/>
      <c r="H8" s="210">
        <v>0</v>
      </c>
      <c r="I8" s="397" t="s">
        <v>205</v>
      </c>
      <c r="J8" s="35" t="s">
        <v>209</v>
      </c>
      <c r="K8" s="100" t="s">
        <v>99</v>
      </c>
      <c r="L8" s="101">
        <v>4.4999999999999998E-2</v>
      </c>
      <c r="M8" s="590">
        <f>(M5+M6)*L8*(1+L10)*(1+L11)/(1-(L7+L8+L9)*(1+L10)*(1+L11))</f>
        <v>0</v>
      </c>
      <c r="N8" s="591"/>
    </row>
    <row r="9" spans="1:17" ht="20.100000000000001" customHeight="1">
      <c r="A9" s="580" t="s">
        <v>208</v>
      </c>
      <c r="B9" s="597" t="s">
        <v>24</v>
      </c>
      <c r="C9" s="572"/>
      <c r="D9" s="392" t="s">
        <v>25</v>
      </c>
      <c r="E9" s="562" t="s">
        <v>26</v>
      </c>
      <c r="F9" s="572"/>
      <c r="G9" s="562" t="s">
        <v>27</v>
      </c>
      <c r="H9" s="578"/>
      <c r="I9" s="579"/>
      <c r="J9" s="35" t="s">
        <v>271</v>
      </c>
      <c r="K9" s="100" t="s">
        <v>99</v>
      </c>
      <c r="L9" s="101">
        <v>1.2E-2</v>
      </c>
      <c r="M9" s="630">
        <f>(M5+M6)*L9*(1+L10)*(1+L11)/(1-(L7+L8+L9)*(1+L10)*(1+L11))</f>
        <v>0</v>
      </c>
      <c r="N9" s="631"/>
    </row>
    <row r="10" spans="1:17" ht="20.100000000000001" customHeight="1">
      <c r="A10" s="581"/>
      <c r="B10" s="529" t="s">
        <v>28</v>
      </c>
      <c r="C10" s="530"/>
      <c r="D10" s="97">
        <v>1.34E-2</v>
      </c>
      <c r="E10" s="574">
        <v>0.4</v>
      </c>
      <c r="F10" s="637"/>
      <c r="G10" s="568">
        <f>D10*E10</f>
        <v>5.3600000000000002E-3</v>
      </c>
      <c r="H10" s="568"/>
      <c r="I10" s="636">
        <f>G10+G11+G12</f>
        <v>1.6840000000000001E-2</v>
      </c>
      <c r="J10" s="35" t="s">
        <v>213</v>
      </c>
      <c r="K10" s="102" t="s">
        <v>119</v>
      </c>
      <c r="L10" s="103">
        <f>I10*G13*H8</f>
        <v>0</v>
      </c>
      <c r="M10" s="634">
        <f>(M5+M6+M7+M8+M9)*L10</f>
        <v>0</v>
      </c>
      <c r="N10" s="635"/>
    </row>
    <row r="11" spans="1:17" ht="20.100000000000001" customHeight="1">
      <c r="A11" s="581"/>
      <c r="B11" s="529" t="s">
        <v>29</v>
      </c>
      <c r="C11" s="530"/>
      <c r="D11" s="97">
        <v>2.87E-2</v>
      </c>
      <c r="E11" s="574">
        <v>0.4</v>
      </c>
      <c r="F11" s="574"/>
      <c r="G11" s="568">
        <f>D11*E11</f>
        <v>1.1480000000000001E-2</v>
      </c>
      <c r="H11" s="568"/>
      <c r="I11" s="636"/>
      <c r="J11" s="35" t="s">
        <v>216</v>
      </c>
      <c r="K11" s="104" t="s">
        <v>279</v>
      </c>
      <c r="L11" s="105">
        <v>0.12</v>
      </c>
      <c r="M11" s="588">
        <f>(M5+M6+M7+M8+M9+M10)*L11</f>
        <v>0</v>
      </c>
      <c r="N11" s="589"/>
    </row>
    <row r="12" spans="1:17" ht="20.100000000000001" customHeight="1">
      <c r="A12" s="581"/>
      <c r="B12" s="529" t="s">
        <v>30</v>
      </c>
      <c r="C12" s="530"/>
      <c r="D12" s="98">
        <v>0</v>
      </c>
      <c r="E12" s="574">
        <v>0.2</v>
      </c>
      <c r="F12" s="574"/>
      <c r="G12" s="568">
        <f>D12*E12</f>
        <v>0</v>
      </c>
      <c r="H12" s="568"/>
      <c r="I12" s="636"/>
      <c r="J12" s="592" t="s">
        <v>247</v>
      </c>
      <c r="K12" s="512"/>
      <c r="L12" s="512"/>
      <c r="M12" s="590">
        <f>(M5+M6+M7+M8+M9)+M10+M11</f>
        <v>0</v>
      </c>
      <c r="N12" s="591"/>
    </row>
    <row r="13" spans="1:17" ht="20.100000000000001" customHeight="1">
      <c r="A13" s="581"/>
      <c r="B13" s="531" t="s">
        <v>126</v>
      </c>
      <c r="C13" s="573"/>
      <c r="D13" s="573"/>
      <c r="E13" s="573"/>
      <c r="F13" s="573"/>
      <c r="G13" s="569">
        <v>0.5</v>
      </c>
      <c r="H13" s="570"/>
      <c r="I13" s="571"/>
      <c r="J13" s="531" t="s">
        <v>127</v>
      </c>
      <c r="K13" s="601"/>
      <c r="L13" s="601"/>
      <c r="M13" s="599" t="e">
        <f>M12-F20</f>
        <v>#DIV/0!</v>
      </c>
      <c r="N13" s="600"/>
    </row>
    <row r="14" spans="1:17" ht="20.100000000000001" customHeight="1">
      <c r="A14" s="566" t="s">
        <v>281</v>
      </c>
      <c r="B14" s="567"/>
      <c r="C14" s="567"/>
      <c r="D14" s="567"/>
      <c r="E14" s="567"/>
      <c r="F14" s="567"/>
      <c r="G14" s="567"/>
      <c r="H14" s="567"/>
      <c r="I14" s="567"/>
      <c r="J14" s="586" t="s">
        <v>282</v>
      </c>
      <c r="K14" s="587"/>
      <c r="L14" s="587"/>
      <c r="M14" s="587"/>
      <c r="N14" s="587"/>
    </row>
    <row r="15" spans="1:17" ht="20.100000000000001" customHeight="1">
      <c r="A15" s="564" t="s">
        <v>219</v>
      </c>
      <c r="B15" s="565"/>
      <c r="C15" s="565"/>
      <c r="D15" s="562" t="s">
        <v>220</v>
      </c>
      <c r="E15" s="572"/>
      <c r="F15" s="562" t="s">
        <v>221</v>
      </c>
      <c r="G15" s="572"/>
      <c r="H15" s="562" t="s">
        <v>222</v>
      </c>
      <c r="I15" s="563"/>
      <c r="J15" s="584" t="s">
        <v>254</v>
      </c>
      <c r="K15" s="585"/>
      <c r="L15" s="585"/>
      <c r="M15" s="582">
        <v>20925000</v>
      </c>
      <c r="N15" s="583"/>
    </row>
    <row r="16" spans="1:17" ht="20.100000000000001" customHeight="1">
      <c r="A16" s="106">
        <v>100</v>
      </c>
      <c r="B16" s="38" t="s">
        <v>223</v>
      </c>
      <c r="C16" s="107">
        <v>3</v>
      </c>
      <c r="D16" s="557"/>
      <c r="E16" s="557"/>
      <c r="F16" s="557"/>
      <c r="G16" s="557"/>
      <c r="H16" s="558"/>
      <c r="I16" s="559"/>
      <c r="J16" s="548" t="s">
        <v>391</v>
      </c>
      <c r="K16" s="549"/>
      <c r="L16" s="549"/>
      <c r="M16" s="535">
        <f>M15+N21+N22+N24</f>
        <v>20925000</v>
      </c>
      <c r="N16" s="536"/>
    </row>
    <row r="17" spans="1:14" ht="20.100000000000001" customHeight="1">
      <c r="A17" s="529" t="s">
        <v>31</v>
      </c>
      <c r="B17" s="530"/>
      <c r="C17" s="530"/>
      <c r="D17" s="560" t="s">
        <v>225</v>
      </c>
      <c r="E17" s="561"/>
      <c r="F17" s="547" t="s">
        <v>226</v>
      </c>
      <c r="G17" s="530"/>
      <c r="H17" s="555">
        <v>0.1</v>
      </c>
      <c r="I17" s="556"/>
      <c r="J17" s="550"/>
      <c r="K17" s="551"/>
      <c r="L17" s="551"/>
      <c r="M17" s="521"/>
      <c r="N17" s="522"/>
    </row>
    <row r="18" spans="1:14" ht="20.100000000000001" customHeight="1">
      <c r="A18" s="544" t="s">
        <v>227</v>
      </c>
      <c r="B18" s="545"/>
      <c r="C18" s="545"/>
      <c r="D18" s="552" t="s">
        <v>283</v>
      </c>
      <c r="E18" s="553"/>
      <c r="F18" s="553"/>
      <c r="G18" s="553"/>
      <c r="H18" s="553"/>
      <c r="I18" s="554"/>
      <c r="J18" s="548" t="s">
        <v>284</v>
      </c>
      <c r="K18" s="549"/>
      <c r="L18" s="549"/>
      <c r="M18" s="519">
        <v>1550</v>
      </c>
      <c r="N18" s="520"/>
    </row>
    <row r="19" spans="1:14" ht="20.100000000000001" customHeight="1">
      <c r="A19" s="546"/>
      <c r="B19" s="545"/>
      <c r="C19" s="545"/>
      <c r="D19" s="553"/>
      <c r="E19" s="553"/>
      <c r="F19" s="553"/>
      <c r="G19" s="553"/>
      <c r="H19" s="553"/>
      <c r="I19" s="554"/>
      <c r="J19" s="550"/>
      <c r="K19" s="551"/>
      <c r="L19" s="551"/>
      <c r="M19" s="521"/>
      <c r="N19" s="522"/>
    </row>
    <row r="20" spans="1:14" ht="20.100000000000001" customHeight="1">
      <c r="A20" s="531" t="s">
        <v>263</v>
      </c>
      <c r="B20" s="532"/>
      <c r="C20" s="532"/>
      <c r="D20" s="532"/>
      <c r="E20" s="532"/>
      <c r="F20" s="533" t="e">
        <f>(1-H17)/H16*D16*M12</f>
        <v>#DIV/0!</v>
      </c>
      <c r="G20" s="533"/>
      <c r="H20" s="533"/>
      <c r="I20" s="534"/>
      <c r="J20" s="513" t="s">
        <v>264</v>
      </c>
      <c r="K20" s="514"/>
      <c r="L20" s="514"/>
      <c r="M20" s="503">
        <f>ROUND(M16/M18,0)</f>
        <v>13500</v>
      </c>
      <c r="N20" s="504"/>
    </row>
    <row r="21" spans="1:14" ht="20.100000000000001" customHeight="1">
      <c r="A21" s="505" t="s">
        <v>131</v>
      </c>
      <c r="B21" s="507" t="s">
        <v>132</v>
      </c>
      <c r="C21" s="508"/>
      <c r="D21" s="508"/>
      <c r="E21" s="508"/>
      <c r="F21" s="508"/>
      <c r="G21" s="508"/>
      <c r="H21" s="509" t="e">
        <f>M16/H7*3.3058</f>
        <v>#DIV/0!</v>
      </c>
      <c r="I21" s="510"/>
      <c r="J21" s="542" t="s">
        <v>265</v>
      </c>
      <c r="K21" s="515" t="s">
        <v>8</v>
      </c>
      <c r="L21" s="516"/>
      <c r="M21" s="516"/>
      <c r="N21" s="72">
        <v>0</v>
      </c>
    </row>
    <row r="22" spans="1:14" ht="20.100000000000001" customHeight="1">
      <c r="A22" s="506"/>
      <c r="B22" s="511" t="s">
        <v>133</v>
      </c>
      <c r="C22" s="512"/>
      <c r="D22" s="512"/>
      <c r="E22" s="512"/>
      <c r="F22" s="512"/>
      <c r="G22" s="512"/>
      <c r="H22" s="540"/>
      <c r="I22" s="541"/>
      <c r="J22" s="543"/>
      <c r="K22" s="517" t="s">
        <v>8</v>
      </c>
      <c r="L22" s="518"/>
      <c r="M22" s="518"/>
      <c r="N22" s="93">
        <v>0</v>
      </c>
    </row>
    <row r="23" spans="1:14" ht="20.100000000000001" customHeight="1">
      <c r="A23" s="506"/>
      <c r="B23" s="523"/>
      <c r="C23" s="524"/>
      <c r="D23" s="524"/>
      <c r="E23" s="524"/>
      <c r="F23" s="524"/>
      <c r="G23" s="524"/>
      <c r="H23" s="524"/>
      <c r="I23" s="525"/>
      <c r="J23" s="543"/>
      <c r="K23" s="517" t="s">
        <v>8</v>
      </c>
      <c r="L23" s="539"/>
      <c r="M23" s="539"/>
      <c r="N23" s="93">
        <v>0</v>
      </c>
    </row>
    <row r="24" spans="1:14" ht="20.100000000000001" customHeight="1">
      <c r="A24" s="506"/>
      <c r="B24" s="526"/>
      <c r="C24" s="527"/>
      <c r="D24" s="527"/>
      <c r="E24" s="527"/>
      <c r="F24" s="527"/>
      <c r="G24" s="527"/>
      <c r="H24" s="527"/>
      <c r="I24" s="528"/>
      <c r="J24" s="543"/>
      <c r="K24" s="537" t="s">
        <v>8</v>
      </c>
      <c r="L24" s="538"/>
      <c r="M24" s="538"/>
      <c r="N24" s="94">
        <v>0</v>
      </c>
    </row>
    <row r="25" spans="1:14" ht="24" customHeight="1">
      <c r="A25" s="501" t="s">
        <v>659</v>
      </c>
      <c r="B25" s="502"/>
      <c r="C25" s="502"/>
      <c r="D25" s="502"/>
      <c r="E25" s="502"/>
      <c r="F25" s="502"/>
      <c r="G25" s="502"/>
      <c r="H25" s="502"/>
      <c r="I25" s="502"/>
      <c r="J25" s="502"/>
      <c r="K25" s="502"/>
      <c r="L25" s="502"/>
      <c r="M25" s="502"/>
      <c r="N25" s="502"/>
    </row>
    <row r="26" spans="1:14" ht="20.25" customHeight="1">
      <c r="K26" s="155" t="s">
        <v>660</v>
      </c>
    </row>
    <row r="34" spans="8:8">
      <c r="H34" s="113"/>
    </row>
  </sheetData>
  <mergeCells count="84">
    <mergeCell ref="J3:L3"/>
    <mergeCell ref="J4:K4"/>
    <mergeCell ref="M3:N3"/>
    <mergeCell ref="A1:H1"/>
    <mergeCell ref="L1:M1"/>
    <mergeCell ref="A2:I2"/>
    <mergeCell ref="J2:N2"/>
    <mergeCell ref="A3:C3"/>
    <mergeCell ref="D3:I3"/>
    <mergeCell ref="A4:C4"/>
    <mergeCell ref="D4:I4"/>
    <mergeCell ref="A5:C5"/>
    <mergeCell ref="E5:G5"/>
    <mergeCell ref="A8:B8"/>
    <mergeCell ref="E8:G8"/>
    <mergeCell ref="A6:B7"/>
    <mergeCell ref="E6:G6"/>
    <mergeCell ref="E7:G7"/>
    <mergeCell ref="M9:N9"/>
    <mergeCell ref="M11:N11"/>
    <mergeCell ref="M5:N5"/>
    <mergeCell ref="H5:I5"/>
    <mergeCell ref="J5:L5"/>
    <mergeCell ref="M6:N6"/>
    <mergeCell ref="M7:N7"/>
    <mergeCell ref="M8:N8"/>
    <mergeCell ref="M10:N10"/>
    <mergeCell ref="M12:N12"/>
    <mergeCell ref="E12:F12"/>
    <mergeCell ref="E10:F10"/>
    <mergeCell ref="G10:H10"/>
    <mergeCell ref="G12:H12"/>
    <mergeCell ref="B11:C11"/>
    <mergeCell ref="E11:F11"/>
    <mergeCell ref="G11:H11"/>
    <mergeCell ref="I10:I12"/>
    <mergeCell ref="J12:L12"/>
    <mergeCell ref="J15:L15"/>
    <mergeCell ref="A15:C15"/>
    <mergeCell ref="D15:E15"/>
    <mergeCell ref="A9:A13"/>
    <mergeCell ref="B9:C9"/>
    <mergeCell ref="E9:F9"/>
    <mergeCell ref="G9:I9"/>
    <mergeCell ref="J14:N14"/>
    <mergeCell ref="M15:N15"/>
    <mergeCell ref="M13:N13"/>
    <mergeCell ref="A14:I14"/>
    <mergeCell ref="J13:L13"/>
    <mergeCell ref="B13:F13"/>
    <mergeCell ref="G13:I13"/>
    <mergeCell ref="B10:C10"/>
    <mergeCell ref="B12:C12"/>
    <mergeCell ref="D16:E16"/>
    <mergeCell ref="A17:C17"/>
    <mergeCell ref="F15:G15"/>
    <mergeCell ref="H15:I15"/>
    <mergeCell ref="H16:I16"/>
    <mergeCell ref="D17:E17"/>
    <mergeCell ref="F16:G16"/>
    <mergeCell ref="M16:N17"/>
    <mergeCell ref="F17:G17"/>
    <mergeCell ref="H17:I17"/>
    <mergeCell ref="J18:L19"/>
    <mergeCell ref="M18:N19"/>
    <mergeCell ref="J16:L17"/>
    <mergeCell ref="A25:N25"/>
    <mergeCell ref="A21:A24"/>
    <mergeCell ref="B21:G21"/>
    <mergeCell ref="H21:I21"/>
    <mergeCell ref="J21:J24"/>
    <mergeCell ref="B23:I24"/>
    <mergeCell ref="K24:M24"/>
    <mergeCell ref="K21:M21"/>
    <mergeCell ref="B22:G22"/>
    <mergeCell ref="H22:I22"/>
    <mergeCell ref="K23:M23"/>
    <mergeCell ref="K22:M22"/>
    <mergeCell ref="A18:C19"/>
    <mergeCell ref="D18:I19"/>
    <mergeCell ref="M20:N20"/>
    <mergeCell ref="J20:L20"/>
    <mergeCell ref="A20:E20"/>
    <mergeCell ref="F20:I20"/>
  </mergeCells>
  <phoneticPr fontId="3" type="noConversion"/>
  <printOptions horizontalCentered="1" verticalCentered="1"/>
  <pageMargins left="0.39370078740157483" right="0.27559055118110237" top="0.51181102362204722" bottom="0.35433070866141736" header="0.31496062992125984" footer="0.31496062992125984"/>
  <pageSetup paperSize="9"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130E9-5E5D-48A1-A09D-97C6C2307E3A}">
  <sheetPr>
    <pageSetUpPr fitToPage="1"/>
  </sheetPr>
  <dimension ref="A1:Q34"/>
  <sheetViews>
    <sheetView topLeftCell="A4" zoomScale="85" workbookViewId="0">
      <selection activeCell="O2" sqref="O2:Q2"/>
    </sheetView>
  </sheetViews>
  <sheetFormatPr defaultRowHeight="15.75"/>
  <cols>
    <col min="1" max="1" width="6.625" style="32" customWidth="1"/>
    <col min="2" max="2" width="3.875" style="32" customWidth="1"/>
    <col min="3" max="3" width="6.75" style="32" customWidth="1"/>
    <col min="4" max="4" width="7.625" style="32" customWidth="1"/>
    <col min="5" max="5" width="8.125" style="32" customWidth="1"/>
    <col min="6" max="6" width="6.375" style="32" customWidth="1"/>
    <col min="7" max="7" width="8.125" style="32" customWidth="1"/>
    <col min="8" max="8" width="12.625" style="32" customWidth="1"/>
    <col min="9" max="9" width="7.875" style="32" customWidth="1"/>
    <col min="10" max="10" width="19.625" style="32" customWidth="1"/>
    <col min="11" max="11" width="20.625" style="32" customWidth="1"/>
    <col min="12" max="12" width="7.125" style="32" customWidth="1"/>
    <col min="13" max="13" width="10.125" style="32" customWidth="1"/>
    <col min="14" max="14" width="16.5" style="32" customWidth="1"/>
    <col min="15" max="16384" width="9" style="32"/>
  </cols>
  <sheetData>
    <row r="1" spans="1:17" ht="21">
      <c r="A1" s="615" t="s">
        <v>444</v>
      </c>
      <c r="B1" s="616"/>
      <c r="C1" s="616"/>
      <c r="D1" s="616"/>
      <c r="E1" s="616"/>
      <c r="F1" s="616"/>
      <c r="G1" s="616"/>
      <c r="H1" s="616"/>
      <c r="I1" s="154" t="s">
        <v>36</v>
      </c>
      <c r="J1" s="75">
        <v>1040301</v>
      </c>
      <c r="K1" s="30" t="s">
        <v>523</v>
      </c>
      <c r="L1" s="638" t="s">
        <v>34</v>
      </c>
      <c r="M1" s="639"/>
      <c r="N1" s="31">
        <v>78</v>
      </c>
      <c r="O1" s="443"/>
      <c r="P1" s="443"/>
      <c r="Q1" s="443"/>
    </row>
    <row r="2" spans="1:17" ht="20.100000000000001" customHeight="1">
      <c r="A2" s="622" t="s">
        <v>120</v>
      </c>
      <c r="B2" s="623"/>
      <c r="C2" s="623"/>
      <c r="D2" s="623"/>
      <c r="E2" s="623"/>
      <c r="F2" s="623"/>
      <c r="G2" s="623"/>
      <c r="H2" s="623"/>
      <c r="I2" s="624"/>
      <c r="J2" s="640" t="s">
        <v>35</v>
      </c>
      <c r="K2" s="641"/>
      <c r="L2" s="641"/>
      <c r="M2" s="641"/>
      <c r="N2" s="642"/>
      <c r="O2" s="443"/>
      <c r="P2" s="443"/>
      <c r="Q2" s="443"/>
    </row>
    <row r="3" spans="1:17" ht="20.100000000000001" customHeight="1">
      <c r="A3" s="625" t="s">
        <v>97</v>
      </c>
      <c r="B3" s="626"/>
      <c r="C3" s="626"/>
      <c r="D3" s="617" t="str">
        <f>[1]比較!G5</f>
        <v>台北市中山區XX段X小段XXX地號</v>
      </c>
      <c r="E3" s="617"/>
      <c r="F3" s="617"/>
      <c r="G3" s="617"/>
      <c r="H3" s="617"/>
      <c r="I3" s="618"/>
      <c r="J3" s="609" t="s">
        <v>189</v>
      </c>
      <c r="K3" s="610"/>
      <c r="L3" s="610"/>
      <c r="M3" s="611">
        <v>0</v>
      </c>
      <c r="N3" s="612"/>
    </row>
    <row r="4" spans="1:17" ht="20.100000000000001" customHeight="1">
      <c r="A4" s="575" t="s">
        <v>121</v>
      </c>
      <c r="B4" s="576"/>
      <c r="C4" s="576"/>
      <c r="D4" s="619" t="s">
        <v>273</v>
      </c>
      <c r="E4" s="620"/>
      <c r="F4" s="620"/>
      <c r="G4" s="620"/>
      <c r="H4" s="620"/>
      <c r="I4" s="621"/>
      <c r="J4" s="592" t="s">
        <v>190</v>
      </c>
      <c r="K4" s="604"/>
      <c r="L4" s="99">
        <v>1</v>
      </c>
      <c r="M4" s="57" t="s">
        <v>123</v>
      </c>
      <c r="N4" s="88" t="s">
        <v>569</v>
      </c>
    </row>
    <row r="5" spans="1:17" ht="20.100000000000001" customHeight="1">
      <c r="A5" s="575" t="s">
        <v>22</v>
      </c>
      <c r="B5" s="576"/>
      <c r="C5" s="576"/>
      <c r="D5" s="95">
        <v>0</v>
      </c>
      <c r="E5" s="629" t="s">
        <v>23</v>
      </c>
      <c r="F5" s="576"/>
      <c r="G5" s="576"/>
      <c r="H5" s="627">
        <v>0</v>
      </c>
      <c r="I5" s="628"/>
      <c r="J5" s="511" t="s">
        <v>191</v>
      </c>
      <c r="K5" s="605"/>
      <c r="L5" s="605"/>
      <c r="M5" s="588">
        <f>M3*L4</f>
        <v>0</v>
      </c>
      <c r="N5" s="589"/>
    </row>
    <row r="6" spans="1:17" ht="20.100000000000001" customHeight="1">
      <c r="A6" s="575" t="s">
        <v>192</v>
      </c>
      <c r="B6" s="576"/>
      <c r="C6" s="381" t="s">
        <v>193</v>
      </c>
      <c r="D6" s="95">
        <v>0</v>
      </c>
      <c r="E6" s="593" t="s">
        <v>98</v>
      </c>
      <c r="F6" s="594"/>
      <c r="G6" s="594"/>
      <c r="H6" s="96">
        <v>0</v>
      </c>
      <c r="I6" s="396" t="s">
        <v>195</v>
      </c>
      <c r="J6" s="35" t="s">
        <v>196</v>
      </c>
      <c r="K6" s="100" t="s">
        <v>274</v>
      </c>
      <c r="L6" s="101">
        <v>2.8000000000000001E-2</v>
      </c>
      <c r="M6" s="613">
        <f>M5*L6</f>
        <v>0</v>
      </c>
      <c r="N6" s="614"/>
    </row>
    <row r="7" spans="1:17" ht="20.100000000000001" customHeight="1">
      <c r="A7" s="577"/>
      <c r="B7" s="576"/>
      <c r="C7" s="381" t="s">
        <v>198</v>
      </c>
      <c r="D7" s="95">
        <v>0</v>
      </c>
      <c r="E7" s="632" t="s">
        <v>124</v>
      </c>
      <c r="F7" s="633"/>
      <c r="G7" s="633"/>
      <c r="H7" s="96">
        <v>0</v>
      </c>
      <c r="I7" s="396" t="s">
        <v>195</v>
      </c>
      <c r="J7" s="35" t="s">
        <v>206</v>
      </c>
      <c r="K7" s="100" t="s">
        <v>99</v>
      </c>
      <c r="L7" s="101">
        <v>4.4999999999999998E-2</v>
      </c>
      <c r="M7" s="590">
        <f>(M5+M6)*L7*(1+L10)*(1+L11)/(1-(L7+L8+L9)*(1+L10)*(1+L11))</f>
        <v>0</v>
      </c>
      <c r="N7" s="591"/>
    </row>
    <row r="8" spans="1:17" ht="20.100000000000001" customHeight="1">
      <c r="A8" s="595" t="s">
        <v>202</v>
      </c>
      <c r="B8" s="596"/>
      <c r="C8" s="382" t="s">
        <v>203</v>
      </c>
      <c r="D8" s="112">
        <v>0</v>
      </c>
      <c r="E8" s="598" t="s">
        <v>204</v>
      </c>
      <c r="F8" s="596"/>
      <c r="G8" s="596"/>
      <c r="H8" s="210">
        <v>0</v>
      </c>
      <c r="I8" s="397" t="s">
        <v>205</v>
      </c>
      <c r="J8" s="35" t="s">
        <v>209</v>
      </c>
      <c r="K8" s="100" t="s">
        <v>99</v>
      </c>
      <c r="L8" s="101">
        <v>4.4999999999999998E-2</v>
      </c>
      <c r="M8" s="590">
        <f>(M5+M6)*L8*(1+L10)*(1+L11)/(1-(L7+L8+L9)*(1+L10)*(1+L11))</f>
        <v>0</v>
      </c>
      <c r="N8" s="591"/>
    </row>
    <row r="9" spans="1:17" ht="20.100000000000001" customHeight="1">
      <c r="A9" s="580" t="s">
        <v>208</v>
      </c>
      <c r="B9" s="597" t="s">
        <v>24</v>
      </c>
      <c r="C9" s="572"/>
      <c r="D9" s="392" t="s">
        <v>25</v>
      </c>
      <c r="E9" s="562" t="s">
        <v>26</v>
      </c>
      <c r="F9" s="572"/>
      <c r="G9" s="562" t="s">
        <v>27</v>
      </c>
      <c r="H9" s="578"/>
      <c r="I9" s="579"/>
      <c r="J9" s="35" t="s">
        <v>271</v>
      </c>
      <c r="K9" s="100" t="s">
        <v>99</v>
      </c>
      <c r="L9" s="101">
        <v>1.2E-2</v>
      </c>
      <c r="M9" s="630">
        <f>(M5+M6)*L9*(1+L10)*(1+L11)/(1-(L7+L8+L9)*(1+L10)*(1+L11))</f>
        <v>0</v>
      </c>
      <c r="N9" s="631"/>
    </row>
    <row r="10" spans="1:17" ht="20.100000000000001" customHeight="1">
      <c r="A10" s="581"/>
      <c r="B10" s="529" t="s">
        <v>28</v>
      </c>
      <c r="C10" s="530"/>
      <c r="D10" s="97">
        <v>1.34E-2</v>
      </c>
      <c r="E10" s="574">
        <v>0.4</v>
      </c>
      <c r="F10" s="637"/>
      <c r="G10" s="568">
        <f>D10*E10</f>
        <v>5.3600000000000002E-3</v>
      </c>
      <c r="H10" s="568"/>
      <c r="I10" s="636">
        <f>G10+G11+G12</f>
        <v>1.6840000000000001E-2</v>
      </c>
      <c r="J10" s="35" t="s">
        <v>213</v>
      </c>
      <c r="K10" s="102" t="s">
        <v>119</v>
      </c>
      <c r="L10" s="103">
        <f>I10*G13*H8</f>
        <v>0</v>
      </c>
      <c r="M10" s="634">
        <f>(M5+M6+M7+M8+M9)*L10</f>
        <v>0</v>
      </c>
      <c r="N10" s="635"/>
    </row>
    <row r="11" spans="1:17" ht="20.100000000000001" customHeight="1">
      <c r="A11" s="581"/>
      <c r="B11" s="529" t="s">
        <v>29</v>
      </c>
      <c r="C11" s="530"/>
      <c r="D11" s="97">
        <v>2.87E-2</v>
      </c>
      <c r="E11" s="574">
        <v>0.4</v>
      </c>
      <c r="F11" s="574"/>
      <c r="G11" s="568">
        <f>D11*E11</f>
        <v>1.1480000000000001E-2</v>
      </c>
      <c r="H11" s="568"/>
      <c r="I11" s="636"/>
      <c r="J11" s="35" t="s">
        <v>216</v>
      </c>
      <c r="K11" s="104" t="s">
        <v>279</v>
      </c>
      <c r="L11" s="105">
        <v>0.12</v>
      </c>
      <c r="M11" s="588">
        <f>(M5+M6+M7+M8+M9+M10)*L11</f>
        <v>0</v>
      </c>
      <c r="N11" s="589"/>
    </row>
    <row r="12" spans="1:17" ht="20.100000000000001" customHeight="1">
      <c r="A12" s="581"/>
      <c r="B12" s="529" t="s">
        <v>30</v>
      </c>
      <c r="C12" s="530"/>
      <c r="D12" s="98">
        <v>0</v>
      </c>
      <c r="E12" s="574">
        <v>0.2</v>
      </c>
      <c r="F12" s="574"/>
      <c r="G12" s="568">
        <f>D12*E12</f>
        <v>0</v>
      </c>
      <c r="H12" s="568"/>
      <c r="I12" s="636"/>
      <c r="J12" s="592" t="s">
        <v>247</v>
      </c>
      <c r="K12" s="512"/>
      <c r="L12" s="512"/>
      <c r="M12" s="590">
        <f>(M5+M6+M7+M8+M9)+M10+M11</f>
        <v>0</v>
      </c>
      <c r="N12" s="591"/>
    </row>
    <row r="13" spans="1:17" ht="20.100000000000001" customHeight="1">
      <c r="A13" s="581"/>
      <c r="B13" s="531" t="s">
        <v>126</v>
      </c>
      <c r="C13" s="573"/>
      <c r="D13" s="573"/>
      <c r="E13" s="573"/>
      <c r="F13" s="573"/>
      <c r="G13" s="569">
        <v>0.5</v>
      </c>
      <c r="H13" s="570"/>
      <c r="I13" s="571"/>
      <c r="J13" s="531" t="s">
        <v>127</v>
      </c>
      <c r="K13" s="601"/>
      <c r="L13" s="601"/>
      <c r="M13" s="599" t="e">
        <f>M12-F20</f>
        <v>#DIV/0!</v>
      </c>
      <c r="N13" s="600"/>
    </row>
    <row r="14" spans="1:17" ht="20.100000000000001" customHeight="1">
      <c r="A14" s="566" t="s">
        <v>281</v>
      </c>
      <c r="B14" s="567"/>
      <c r="C14" s="567"/>
      <c r="D14" s="567"/>
      <c r="E14" s="567"/>
      <c r="F14" s="567"/>
      <c r="G14" s="567"/>
      <c r="H14" s="567"/>
      <c r="I14" s="567"/>
      <c r="J14" s="586" t="s">
        <v>282</v>
      </c>
      <c r="K14" s="587"/>
      <c r="L14" s="587"/>
      <c r="M14" s="587"/>
      <c r="N14" s="587"/>
    </row>
    <row r="15" spans="1:17" ht="20.100000000000001" customHeight="1">
      <c r="A15" s="564" t="s">
        <v>219</v>
      </c>
      <c r="B15" s="565"/>
      <c r="C15" s="565"/>
      <c r="D15" s="562" t="s">
        <v>220</v>
      </c>
      <c r="E15" s="572"/>
      <c r="F15" s="562" t="s">
        <v>221</v>
      </c>
      <c r="G15" s="572"/>
      <c r="H15" s="562" t="s">
        <v>222</v>
      </c>
      <c r="I15" s="563"/>
      <c r="J15" s="584" t="s">
        <v>254</v>
      </c>
      <c r="K15" s="585"/>
      <c r="L15" s="585"/>
      <c r="M15" s="582">
        <v>11299500</v>
      </c>
      <c r="N15" s="583"/>
    </row>
    <row r="16" spans="1:17" ht="20.100000000000001" customHeight="1">
      <c r="A16" s="106">
        <v>100</v>
      </c>
      <c r="B16" s="38" t="s">
        <v>223</v>
      </c>
      <c r="C16" s="107">
        <v>3</v>
      </c>
      <c r="D16" s="557"/>
      <c r="E16" s="557"/>
      <c r="F16" s="557"/>
      <c r="G16" s="557"/>
      <c r="H16" s="558"/>
      <c r="I16" s="559"/>
      <c r="J16" s="548" t="s">
        <v>391</v>
      </c>
      <c r="K16" s="549"/>
      <c r="L16" s="549"/>
      <c r="M16" s="535">
        <f>M15+N21+N22+N24</f>
        <v>11299500</v>
      </c>
      <c r="N16" s="536"/>
    </row>
    <row r="17" spans="1:14" ht="20.100000000000001" customHeight="1">
      <c r="A17" s="529" t="s">
        <v>31</v>
      </c>
      <c r="B17" s="530"/>
      <c r="C17" s="530"/>
      <c r="D17" s="560" t="s">
        <v>225</v>
      </c>
      <c r="E17" s="561"/>
      <c r="F17" s="547" t="s">
        <v>226</v>
      </c>
      <c r="G17" s="530"/>
      <c r="H17" s="555">
        <v>0.1</v>
      </c>
      <c r="I17" s="556"/>
      <c r="J17" s="550"/>
      <c r="K17" s="551"/>
      <c r="L17" s="551"/>
      <c r="M17" s="521"/>
      <c r="N17" s="522"/>
    </row>
    <row r="18" spans="1:14" ht="20.100000000000001" customHeight="1">
      <c r="A18" s="544" t="s">
        <v>227</v>
      </c>
      <c r="B18" s="545"/>
      <c r="C18" s="545"/>
      <c r="D18" s="552" t="s">
        <v>283</v>
      </c>
      <c r="E18" s="553"/>
      <c r="F18" s="553"/>
      <c r="G18" s="553"/>
      <c r="H18" s="553"/>
      <c r="I18" s="554"/>
      <c r="J18" s="548" t="s">
        <v>284</v>
      </c>
      <c r="K18" s="549"/>
      <c r="L18" s="549"/>
      <c r="M18" s="519">
        <v>930</v>
      </c>
      <c r="N18" s="520"/>
    </row>
    <row r="19" spans="1:14" ht="20.100000000000001" customHeight="1">
      <c r="A19" s="546"/>
      <c r="B19" s="545"/>
      <c r="C19" s="545"/>
      <c r="D19" s="553"/>
      <c r="E19" s="553"/>
      <c r="F19" s="553"/>
      <c r="G19" s="553"/>
      <c r="H19" s="553"/>
      <c r="I19" s="554"/>
      <c r="J19" s="550"/>
      <c r="K19" s="551"/>
      <c r="L19" s="551"/>
      <c r="M19" s="521"/>
      <c r="N19" s="522"/>
    </row>
    <row r="20" spans="1:14" ht="20.100000000000001" customHeight="1">
      <c r="A20" s="531" t="s">
        <v>263</v>
      </c>
      <c r="B20" s="532"/>
      <c r="C20" s="532"/>
      <c r="D20" s="532"/>
      <c r="E20" s="532"/>
      <c r="F20" s="533" t="e">
        <f>(1-H17)/H16*D16*M12</f>
        <v>#DIV/0!</v>
      </c>
      <c r="G20" s="533"/>
      <c r="H20" s="533"/>
      <c r="I20" s="534"/>
      <c r="J20" s="513" t="s">
        <v>264</v>
      </c>
      <c r="K20" s="514"/>
      <c r="L20" s="514"/>
      <c r="M20" s="503">
        <f>ROUND(M16/M18,0)</f>
        <v>12150</v>
      </c>
      <c r="N20" s="504"/>
    </row>
    <row r="21" spans="1:14" ht="20.100000000000001" customHeight="1">
      <c r="A21" s="505" t="s">
        <v>131</v>
      </c>
      <c r="B21" s="507" t="s">
        <v>132</v>
      </c>
      <c r="C21" s="508"/>
      <c r="D21" s="508"/>
      <c r="E21" s="508"/>
      <c r="F21" s="508"/>
      <c r="G21" s="508"/>
      <c r="H21" s="509" t="e">
        <f>M16/H7*3.3058</f>
        <v>#DIV/0!</v>
      </c>
      <c r="I21" s="510"/>
      <c r="J21" s="542" t="s">
        <v>265</v>
      </c>
      <c r="K21" s="515" t="s">
        <v>8</v>
      </c>
      <c r="L21" s="516"/>
      <c r="M21" s="516"/>
      <c r="N21" s="72">
        <v>0</v>
      </c>
    </row>
    <row r="22" spans="1:14" ht="20.100000000000001" customHeight="1">
      <c r="A22" s="506"/>
      <c r="B22" s="511" t="s">
        <v>133</v>
      </c>
      <c r="C22" s="512"/>
      <c r="D22" s="512"/>
      <c r="E22" s="512"/>
      <c r="F22" s="512"/>
      <c r="G22" s="512"/>
      <c r="H22" s="540"/>
      <c r="I22" s="541"/>
      <c r="J22" s="543"/>
      <c r="K22" s="517" t="s">
        <v>8</v>
      </c>
      <c r="L22" s="518"/>
      <c r="M22" s="518"/>
      <c r="N22" s="93">
        <v>0</v>
      </c>
    </row>
    <row r="23" spans="1:14" ht="20.100000000000001" customHeight="1">
      <c r="A23" s="506"/>
      <c r="B23" s="523"/>
      <c r="C23" s="524"/>
      <c r="D23" s="524"/>
      <c r="E23" s="524"/>
      <c r="F23" s="524"/>
      <c r="G23" s="524"/>
      <c r="H23" s="524"/>
      <c r="I23" s="525"/>
      <c r="J23" s="543"/>
      <c r="K23" s="517" t="s">
        <v>8</v>
      </c>
      <c r="L23" s="539"/>
      <c r="M23" s="539"/>
      <c r="N23" s="93">
        <v>0</v>
      </c>
    </row>
    <row r="24" spans="1:14" ht="20.100000000000001" customHeight="1">
      <c r="A24" s="506"/>
      <c r="B24" s="526"/>
      <c r="C24" s="527"/>
      <c r="D24" s="527"/>
      <c r="E24" s="527"/>
      <c r="F24" s="527"/>
      <c r="G24" s="527"/>
      <c r="H24" s="527"/>
      <c r="I24" s="528"/>
      <c r="J24" s="543"/>
      <c r="K24" s="537" t="s">
        <v>8</v>
      </c>
      <c r="L24" s="538"/>
      <c r="M24" s="538"/>
      <c r="N24" s="94">
        <v>0</v>
      </c>
    </row>
    <row r="25" spans="1:14" ht="24" customHeight="1">
      <c r="A25" s="501" t="s">
        <v>659</v>
      </c>
      <c r="B25" s="502"/>
      <c r="C25" s="502"/>
      <c r="D25" s="502"/>
      <c r="E25" s="502"/>
      <c r="F25" s="502"/>
      <c r="G25" s="502"/>
      <c r="H25" s="502"/>
      <c r="I25" s="502"/>
      <c r="J25" s="502"/>
      <c r="K25" s="502"/>
      <c r="L25" s="502"/>
      <c r="M25" s="502"/>
      <c r="N25" s="502"/>
    </row>
    <row r="26" spans="1:14" ht="20.25" customHeight="1">
      <c r="K26" s="155" t="s">
        <v>660</v>
      </c>
    </row>
    <row r="34" spans="8:8">
      <c r="H34" s="113"/>
    </row>
  </sheetData>
  <mergeCells count="84">
    <mergeCell ref="J3:L3"/>
    <mergeCell ref="J4:K4"/>
    <mergeCell ref="M3:N3"/>
    <mergeCell ref="A1:H1"/>
    <mergeCell ref="L1:M1"/>
    <mergeCell ref="A2:I2"/>
    <mergeCell ref="J2:N2"/>
    <mergeCell ref="A3:C3"/>
    <mergeCell ref="D3:I3"/>
    <mergeCell ref="A4:C4"/>
    <mergeCell ref="D4:I4"/>
    <mergeCell ref="A5:C5"/>
    <mergeCell ref="E5:G5"/>
    <mergeCell ref="A8:B8"/>
    <mergeCell ref="E8:G8"/>
    <mergeCell ref="A6:B7"/>
    <mergeCell ref="E6:G6"/>
    <mergeCell ref="E7:G7"/>
    <mergeCell ref="M9:N9"/>
    <mergeCell ref="M11:N11"/>
    <mergeCell ref="M5:N5"/>
    <mergeCell ref="H5:I5"/>
    <mergeCell ref="J5:L5"/>
    <mergeCell ref="M6:N6"/>
    <mergeCell ref="M7:N7"/>
    <mergeCell ref="M8:N8"/>
    <mergeCell ref="M10:N10"/>
    <mergeCell ref="M12:N12"/>
    <mergeCell ref="E12:F12"/>
    <mergeCell ref="E10:F10"/>
    <mergeCell ref="G10:H10"/>
    <mergeCell ref="G12:H12"/>
    <mergeCell ref="B11:C11"/>
    <mergeCell ref="E11:F11"/>
    <mergeCell ref="G11:H11"/>
    <mergeCell ref="I10:I12"/>
    <mergeCell ref="J12:L12"/>
    <mergeCell ref="J15:L15"/>
    <mergeCell ref="A15:C15"/>
    <mergeCell ref="D15:E15"/>
    <mergeCell ref="A9:A13"/>
    <mergeCell ref="B9:C9"/>
    <mergeCell ref="E9:F9"/>
    <mergeCell ref="G9:I9"/>
    <mergeCell ref="J14:N14"/>
    <mergeCell ref="M15:N15"/>
    <mergeCell ref="M13:N13"/>
    <mergeCell ref="A14:I14"/>
    <mergeCell ref="J13:L13"/>
    <mergeCell ref="B13:F13"/>
    <mergeCell ref="G13:I13"/>
    <mergeCell ref="B10:C10"/>
    <mergeCell ref="B12:C12"/>
    <mergeCell ref="D16:E16"/>
    <mergeCell ref="A17:C17"/>
    <mergeCell ref="F15:G15"/>
    <mergeCell ref="H15:I15"/>
    <mergeCell ref="H16:I16"/>
    <mergeCell ref="D17:E17"/>
    <mergeCell ref="F16:G16"/>
    <mergeCell ref="M16:N17"/>
    <mergeCell ref="F17:G17"/>
    <mergeCell ref="H17:I17"/>
    <mergeCell ref="J18:L19"/>
    <mergeCell ref="M18:N19"/>
    <mergeCell ref="J16:L17"/>
    <mergeCell ref="A25:N25"/>
    <mergeCell ref="A21:A24"/>
    <mergeCell ref="B21:G21"/>
    <mergeCell ref="H21:I21"/>
    <mergeCell ref="J21:J24"/>
    <mergeCell ref="B23:I24"/>
    <mergeCell ref="K24:M24"/>
    <mergeCell ref="K21:M21"/>
    <mergeCell ref="B22:G22"/>
    <mergeCell ref="H22:I22"/>
    <mergeCell ref="K23:M23"/>
    <mergeCell ref="K22:M22"/>
    <mergeCell ref="A18:C19"/>
    <mergeCell ref="D18:I19"/>
    <mergeCell ref="M20:N20"/>
    <mergeCell ref="J20:L20"/>
    <mergeCell ref="A20:E20"/>
    <mergeCell ref="F20:I20"/>
  </mergeCells>
  <phoneticPr fontId="3" type="noConversion"/>
  <printOptions horizontalCentered="1" verticalCentered="1"/>
  <pageMargins left="0.31496062992125984" right="0.31496062992125984" top="0.39370078740157483" bottom="0.43307086614173229" header="0.31496062992125984" footer="0.31496062992125984"/>
  <pageSetup paperSize="9" scale="99"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96DE4-F1A3-4F85-A01D-0CBB293E723C}">
  <sheetPr>
    <pageSetUpPr fitToPage="1"/>
  </sheetPr>
  <dimension ref="A1:R42"/>
  <sheetViews>
    <sheetView topLeftCell="A13" zoomScale="85" workbookViewId="0">
      <selection activeCell="O2" sqref="O2:Q2"/>
    </sheetView>
  </sheetViews>
  <sheetFormatPr defaultRowHeight="15.75"/>
  <cols>
    <col min="1" max="1" width="6.625" style="32" customWidth="1"/>
    <col min="2" max="2" width="3.875" style="32" customWidth="1"/>
    <col min="3" max="3" width="6.75" style="32" customWidth="1"/>
    <col min="4" max="4" width="7.625" style="32" customWidth="1"/>
    <col min="5" max="5" width="8.125" style="32" customWidth="1"/>
    <col min="6" max="6" width="6.375" style="32" customWidth="1"/>
    <col min="7" max="7" width="8.125" style="32" customWidth="1"/>
    <col min="8" max="8" width="12.625" style="32" customWidth="1"/>
    <col min="9" max="9" width="7.875" style="32" customWidth="1"/>
    <col min="10" max="10" width="19.625" style="32" customWidth="1"/>
    <col min="11" max="11" width="20.625" style="32" customWidth="1"/>
    <col min="12" max="12" width="7.125" style="32" customWidth="1"/>
    <col min="13" max="13" width="10.125" style="32" customWidth="1"/>
    <col min="14" max="14" width="15.875" style="32" customWidth="1"/>
    <col min="15" max="15" width="9" style="32"/>
    <col min="16" max="16" width="47" style="32" customWidth="1"/>
    <col min="17" max="16384" width="9" style="32"/>
  </cols>
  <sheetData>
    <row r="1" spans="1:17" ht="21">
      <c r="A1" s="615" t="s">
        <v>445</v>
      </c>
      <c r="B1" s="616"/>
      <c r="C1" s="616"/>
      <c r="D1" s="616"/>
      <c r="E1" s="616"/>
      <c r="F1" s="616"/>
      <c r="G1" s="616"/>
      <c r="H1" s="616"/>
      <c r="I1" s="154" t="s">
        <v>232</v>
      </c>
      <c r="J1" s="75">
        <v>1040301</v>
      </c>
      <c r="K1" s="30" t="s">
        <v>524</v>
      </c>
      <c r="L1" s="638" t="s">
        <v>34</v>
      </c>
      <c r="M1" s="639"/>
      <c r="N1" s="31">
        <v>2</v>
      </c>
      <c r="O1" s="443"/>
      <c r="P1" s="443"/>
      <c r="Q1" s="443"/>
    </row>
    <row r="2" spans="1:17" ht="20.100000000000001" customHeight="1">
      <c r="A2" s="622" t="s">
        <v>268</v>
      </c>
      <c r="B2" s="623"/>
      <c r="C2" s="623"/>
      <c r="D2" s="623"/>
      <c r="E2" s="623"/>
      <c r="F2" s="623"/>
      <c r="G2" s="623"/>
      <c r="H2" s="623"/>
      <c r="I2" s="624"/>
      <c r="J2" s="640" t="s">
        <v>269</v>
      </c>
      <c r="K2" s="641"/>
      <c r="L2" s="641"/>
      <c r="M2" s="641"/>
      <c r="N2" s="642"/>
      <c r="O2" s="443"/>
      <c r="P2" s="443"/>
      <c r="Q2" s="443"/>
    </row>
    <row r="3" spans="1:17" ht="20.100000000000001" customHeight="1">
      <c r="A3" s="625" t="s">
        <v>658</v>
      </c>
      <c r="B3" s="626"/>
      <c r="C3" s="626"/>
      <c r="D3" s="724" t="s">
        <v>188</v>
      </c>
      <c r="E3" s="725"/>
      <c r="F3" s="725"/>
      <c r="G3" s="725"/>
      <c r="H3" s="725"/>
      <c r="I3" s="726"/>
      <c r="J3" s="609" t="s">
        <v>189</v>
      </c>
      <c r="K3" s="610"/>
      <c r="L3" s="610"/>
      <c r="M3" s="710">
        <v>23500</v>
      </c>
      <c r="N3" s="711"/>
    </row>
    <row r="4" spans="1:17" ht="20.100000000000001" customHeight="1">
      <c r="A4" s="575" t="s">
        <v>121</v>
      </c>
      <c r="B4" s="576"/>
      <c r="C4" s="576"/>
      <c r="D4" s="619" t="s">
        <v>122</v>
      </c>
      <c r="E4" s="620"/>
      <c r="F4" s="620"/>
      <c r="G4" s="620"/>
      <c r="H4" s="620"/>
      <c r="I4" s="621"/>
      <c r="J4" s="592" t="s">
        <v>190</v>
      </c>
      <c r="K4" s="604"/>
      <c r="L4" s="87">
        <v>1.08</v>
      </c>
      <c r="M4" s="57" t="s">
        <v>123</v>
      </c>
      <c r="N4" s="88" t="s">
        <v>570</v>
      </c>
    </row>
    <row r="5" spans="1:17" ht="20.100000000000001" customHeight="1">
      <c r="A5" s="727" t="s">
        <v>22</v>
      </c>
      <c r="B5" s="728"/>
      <c r="C5" s="729"/>
      <c r="D5" s="39">
        <v>32</v>
      </c>
      <c r="E5" s="730" t="s">
        <v>23</v>
      </c>
      <c r="F5" s="728"/>
      <c r="G5" s="729"/>
      <c r="H5" s="722" t="s">
        <v>415</v>
      </c>
      <c r="I5" s="723"/>
      <c r="J5" s="511" t="s">
        <v>191</v>
      </c>
      <c r="K5" s="605"/>
      <c r="L5" s="605"/>
      <c r="M5" s="704">
        <f>ROUND(M3*L4,0)</f>
        <v>25380</v>
      </c>
      <c r="N5" s="705"/>
    </row>
    <row r="6" spans="1:17" ht="20.100000000000001" customHeight="1">
      <c r="A6" s="575" t="s">
        <v>192</v>
      </c>
      <c r="B6" s="576"/>
      <c r="C6" s="381" t="s">
        <v>193</v>
      </c>
      <c r="D6" s="33">
        <v>4</v>
      </c>
      <c r="E6" s="593" t="s">
        <v>98</v>
      </c>
      <c r="F6" s="594"/>
      <c r="G6" s="594"/>
      <c r="H6" s="40">
        <v>450</v>
      </c>
      <c r="I6" s="396" t="s">
        <v>195</v>
      </c>
      <c r="J6" s="35" t="s">
        <v>196</v>
      </c>
      <c r="K6" s="70" t="s">
        <v>234</v>
      </c>
      <c r="L6" s="41">
        <v>2.8000000000000001E-2</v>
      </c>
      <c r="M6" s="708">
        <f>ROUND(M5*L6,0)</f>
        <v>711</v>
      </c>
      <c r="N6" s="709"/>
    </row>
    <row r="7" spans="1:17" ht="20.100000000000001" customHeight="1">
      <c r="A7" s="577"/>
      <c r="B7" s="576"/>
      <c r="C7" s="381" t="s">
        <v>235</v>
      </c>
      <c r="D7" s="33">
        <v>1</v>
      </c>
      <c r="E7" s="632" t="s">
        <v>124</v>
      </c>
      <c r="F7" s="633"/>
      <c r="G7" s="633"/>
      <c r="H7" s="40">
        <v>440</v>
      </c>
      <c r="I7" s="396" t="s">
        <v>195</v>
      </c>
      <c r="J7" s="35" t="s">
        <v>236</v>
      </c>
      <c r="K7" s="70" t="s">
        <v>125</v>
      </c>
      <c r="L7" s="41">
        <v>4.4999999999999998E-2</v>
      </c>
      <c r="M7" s="684">
        <f>ROUND((M5+M6)*L7*(1+L10)*(1+L11)/(1-(L7+L8+L9)*(1+L10)*(1+L11)),0)</f>
        <v>1499</v>
      </c>
      <c r="N7" s="685"/>
    </row>
    <row r="8" spans="1:17" ht="20.100000000000001" customHeight="1">
      <c r="A8" s="595" t="s">
        <v>237</v>
      </c>
      <c r="B8" s="596"/>
      <c r="C8" s="382" t="s">
        <v>238</v>
      </c>
      <c r="D8" s="42" t="s">
        <v>270</v>
      </c>
      <c r="E8" s="598" t="s">
        <v>239</v>
      </c>
      <c r="F8" s="596"/>
      <c r="G8" s="596"/>
      <c r="H8" s="209">
        <v>1</v>
      </c>
      <c r="I8" s="397" t="s">
        <v>240</v>
      </c>
      <c r="J8" s="35" t="s">
        <v>241</v>
      </c>
      <c r="K8" s="70" t="s">
        <v>125</v>
      </c>
      <c r="L8" s="41">
        <v>4.4999999999999998E-2</v>
      </c>
      <c r="M8" s="684">
        <f>ROUND((M5+M6)*L8*(1+L10)*(1+L11)/(1-(L7+L8+L9)*(1+L10)*(1+L11)),0)</f>
        <v>1499</v>
      </c>
      <c r="N8" s="685"/>
    </row>
    <row r="9" spans="1:17" ht="20.100000000000001" customHeight="1">
      <c r="A9" s="713" t="s">
        <v>242</v>
      </c>
      <c r="B9" s="718" t="s">
        <v>24</v>
      </c>
      <c r="C9" s="572"/>
      <c r="D9" s="392" t="s">
        <v>25</v>
      </c>
      <c r="E9" s="701" t="s">
        <v>26</v>
      </c>
      <c r="F9" s="712"/>
      <c r="G9" s="701" t="s">
        <v>27</v>
      </c>
      <c r="H9" s="702"/>
      <c r="I9" s="703"/>
      <c r="J9" s="35" t="s">
        <v>271</v>
      </c>
      <c r="K9" s="70" t="s">
        <v>125</v>
      </c>
      <c r="L9" s="41">
        <v>1.2E-2</v>
      </c>
      <c r="M9" s="706">
        <f>ROUND((M5+M6)*L9*(1+L10)*(1+L11)/(1-(L7+L8+L9)*(1+L10)*(1+L11)),0)</f>
        <v>400</v>
      </c>
      <c r="N9" s="707"/>
    </row>
    <row r="10" spans="1:17" ht="20.100000000000001" customHeight="1">
      <c r="A10" s="714"/>
      <c r="B10" s="716" t="s">
        <v>28</v>
      </c>
      <c r="C10" s="717"/>
      <c r="D10" s="36">
        <v>1.3599999999999999E-2</v>
      </c>
      <c r="E10" s="688">
        <v>0.4</v>
      </c>
      <c r="F10" s="719"/>
      <c r="G10" s="686">
        <f>ROUND(D10*E10,4)</f>
        <v>5.4000000000000003E-3</v>
      </c>
      <c r="H10" s="687"/>
      <c r="I10" s="696">
        <f>ROUND(G10+G11+G12,4)</f>
        <v>1.7000000000000001E-2</v>
      </c>
      <c r="J10" s="35" t="s">
        <v>244</v>
      </c>
      <c r="K10" s="69" t="s">
        <v>119</v>
      </c>
      <c r="L10" s="43">
        <f>I10*G13*H8</f>
        <v>8.5000000000000006E-3</v>
      </c>
      <c r="M10" s="699">
        <f>ROUND((M5+M6+M7+M8+M9)*L10,0)</f>
        <v>251</v>
      </c>
      <c r="N10" s="700"/>
    </row>
    <row r="11" spans="1:17" ht="20.100000000000001" customHeight="1">
      <c r="A11" s="714"/>
      <c r="B11" s="716" t="s">
        <v>29</v>
      </c>
      <c r="C11" s="717"/>
      <c r="D11" s="36">
        <v>2.8899999999999999E-2</v>
      </c>
      <c r="E11" s="688">
        <v>0.4</v>
      </c>
      <c r="F11" s="695"/>
      <c r="G11" s="686">
        <f>ROUND(D11*E11,4)</f>
        <v>1.1599999999999999E-2</v>
      </c>
      <c r="H11" s="687"/>
      <c r="I11" s="697"/>
      <c r="J11" s="35" t="s">
        <v>245</v>
      </c>
      <c r="K11" s="71" t="s">
        <v>246</v>
      </c>
      <c r="L11" s="44">
        <v>0.12</v>
      </c>
      <c r="M11" s="682">
        <f>ROUND((M5+M6+M7+M8+M9+M10)*L11,0)</f>
        <v>3569</v>
      </c>
      <c r="N11" s="683"/>
    </row>
    <row r="12" spans="1:17" ht="20.100000000000001" customHeight="1">
      <c r="A12" s="714"/>
      <c r="B12" s="716" t="s">
        <v>30</v>
      </c>
      <c r="C12" s="717"/>
      <c r="D12" s="37">
        <v>0</v>
      </c>
      <c r="E12" s="688">
        <v>0.2</v>
      </c>
      <c r="F12" s="695"/>
      <c r="G12" s="686">
        <f>ROUND(D12*E12,4)</f>
        <v>0</v>
      </c>
      <c r="H12" s="687"/>
      <c r="I12" s="698"/>
      <c r="J12" s="592" t="s">
        <v>247</v>
      </c>
      <c r="K12" s="512"/>
      <c r="L12" s="512"/>
      <c r="M12" s="684">
        <f>ROUND((M5+M6+M7+M8+M9)+M10+M11,0)</f>
        <v>33309</v>
      </c>
      <c r="N12" s="685"/>
    </row>
    <row r="13" spans="1:17" ht="20.100000000000001" customHeight="1">
      <c r="A13" s="715"/>
      <c r="B13" s="720" t="s">
        <v>126</v>
      </c>
      <c r="C13" s="689"/>
      <c r="D13" s="689"/>
      <c r="E13" s="689"/>
      <c r="F13" s="721"/>
      <c r="G13" s="688">
        <v>0.5</v>
      </c>
      <c r="H13" s="689"/>
      <c r="I13" s="690"/>
      <c r="J13" s="531" t="s">
        <v>127</v>
      </c>
      <c r="K13" s="601"/>
      <c r="L13" s="601"/>
      <c r="M13" s="691">
        <f>ROUND(M12-F20,0)</f>
        <v>24575</v>
      </c>
      <c r="N13" s="692"/>
    </row>
    <row r="14" spans="1:17" ht="20.100000000000001" customHeight="1">
      <c r="A14" s="622" t="s">
        <v>128</v>
      </c>
      <c r="B14" s="623"/>
      <c r="C14" s="623"/>
      <c r="D14" s="623"/>
      <c r="E14" s="623"/>
      <c r="F14" s="623"/>
      <c r="G14" s="623"/>
      <c r="H14" s="623"/>
      <c r="I14" s="624"/>
      <c r="J14" s="679" t="s">
        <v>129</v>
      </c>
      <c r="K14" s="680"/>
      <c r="L14" s="680"/>
      <c r="M14" s="680"/>
      <c r="N14" s="681"/>
    </row>
    <row r="15" spans="1:17" ht="20.100000000000001" customHeight="1">
      <c r="A15" s="564" t="s">
        <v>250</v>
      </c>
      <c r="B15" s="565"/>
      <c r="C15" s="565"/>
      <c r="D15" s="562" t="s">
        <v>251</v>
      </c>
      <c r="E15" s="572"/>
      <c r="F15" s="562" t="s">
        <v>252</v>
      </c>
      <c r="G15" s="572"/>
      <c r="H15" s="562" t="s">
        <v>253</v>
      </c>
      <c r="I15" s="563"/>
      <c r="J15" s="584" t="s">
        <v>254</v>
      </c>
      <c r="K15" s="585"/>
      <c r="L15" s="585"/>
      <c r="M15" s="693">
        <v>93000000</v>
      </c>
      <c r="N15" s="694"/>
    </row>
    <row r="16" spans="1:17" ht="20.100000000000001" customHeight="1">
      <c r="A16" s="45">
        <v>87</v>
      </c>
      <c r="B16" s="38" t="s">
        <v>255</v>
      </c>
      <c r="C16" s="46">
        <v>4</v>
      </c>
      <c r="D16" s="675">
        <v>13.8</v>
      </c>
      <c r="E16" s="676"/>
      <c r="F16" s="677">
        <f>H16-D16</f>
        <v>36.200000000000003</v>
      </c>
      <c r="G16" s="678"/>
      <c r="H16" s="665">
        <v>50</v>
      </c>
      <c r="I16" s="666"/>
      <c r="J16" s="673" t="s">
        <v>256</v>
      </c>
      <c r="K16" s="674"/>
      <c r="L16" s="674"/>
      <c r="M16" s="535">
        <f>M15+N21+N22+N23+N24</f>
        <v>90000000</v>
      </c>
      <c r="N16" s="536"/>
    </row>
    <row r="17" spans="1:18" ht="20.100000000000001" customHeight="1">
      <c r="A17" s="529" t="s">
        <v>31</v>
      </c>
      <c r="B17" s="530"/>
      <c r="C17" s="530"/>
      <c r="D17" s="669" t="s">
        <v>257</v>
      </c>
      <c r="E17" s="670"/>
      <c r="F17" s="547" t="s">
        <v>258</v>
      </c>
      <c r="G17" s="530"/>
      <c r="H17" s="667">
        <v>0.05</v>
      </c>
      <c r="I17" s="668"/>
      <c r="J17" s="673" t="s">
        <v>130</v>
      </c>
      <c r="K17" s="674"/>
      <c r="L17" s="674"/>
      <c r="M17" s="535">
        <f>ROUND(M13*H7,0)</f>
        <v>10813000</v>
      </c>
      <c r="N17" s="536"/>
    </row>
    <row r="18" spans="1:18" ht="20.100000000000001" customHeight="1">
      <c r="A18" s="544" t="s">
        <v>259</v>
      </c>
      <c r="B18" s="545"/>
      <c r="C18" s="545"/>
      <c r="D18" s="671" t="s">
        <v>260</v>
      </c>
      <c r="E18" s="545"/>
      <c r="F18" s="545"/>
      <c r="G18" s="545"/>
      <c r="H18" s="545"/>
      <c r="I18" s="672"/>
      <c r="J18" s="548" t="s">
        <v>272</v>
      </c>
      <c r="K18" s="549"/>
      <c r="L18" s="549"/>
      <c r="M18" s="519">
        <v>100</v>
      </c>
      <c r="N18" s="520"/>
    </row>
    <row r="19" spans="1:18" ht="20.100000000000001" customHeight="1">
      <c r="A19" s="546"/>
      <c r="B19" s="545"/>
      <c r="C19" s="545"/>
      <c r="D19" s="545"/>
      <c r="E19" s="545"/>
      <c r="F19" s="545"/>
      <c r="G19" s="545"/>
      <c r="H19" s="545"/>
      <c r="I19" s="672"/>
      <c r="J19" s="550"/>
      <c r="K19" s="551"/>
      <c r="L19" s="551"/>
      <c r="M19" s="521"/>
      <c r="N19" s="522"/>
    </row>
    <row r="20" spans="1:18" ht="20.100000000000001" customHeight="1">
      <c r="A20" s="660" t="s">
        <v>263</v>
      </c>
      <c r="B20" s="661"/>
      <c r="C20" s="661"/>
      <c r="D20" s="661"/>
      <c r="E20" s="662"/>
      <c r="F20" s="663">
        <f>ROUND((1-H17)/H16*D16*M12,0)</f>
        <v>8734</v>
      </c>
      <c r="G20" s="663"/>
      <c r="H20" s="663"/>
      <c r="I20" s="664"/>
      <c r="J20" s="513" t="s">
        <v>264</v>
      </c>
      <c r="K20" s="514"/>
      <c r="L20" s="514"/>
      <c r="M20" s="658">
        <f>ROUND((M16-M17)/M18,0)</f>
        <v>791870</v>
      </c>
      <c r="N20" s="659"/>
    </row>
    <row r="21" spans="1:18" ht="20.100000000000001" customHeight="1">
      <c r="A21" s="645" t="s">
        <v>131</v>
      </c>
      <c r="B21" s="507" t="s">
        <v>132</v>
      </c>
      <c r="C21" s="508"/>
      <c r="D21" s="508"/>
      <c r="E21" s="508"/>
      <c r="F21" s="508"/>
      <c r="G21" s="508"/>
      <c r="H21" s="643">
        <f>ROUND(M16/H7*3.3058,-3)</f>
        <v>676000</v>
      </c>
      <c r="I21" s="644"/>
      <c r="J21" s="655" t="s">
        <v>265</v>
      </c>
      <c r="K21" s="653" t="s">
        <v>266</v>
      </c>
      <c r="L21" s="654"/>
      <c r="M21" s="654"/>
      <c r="N21" s="72">
        <v>-3000000</v>
      </c>
    </row>
    <row r="22" spans="1:18" ht="20.100000000000001" customHeight="1">
      <c r="A22" s="646"/>
      <c r="B22" s="511" t="s">
        <v>133</v>
      </c>
      <c r="C22" s="512"/>
      <c r="D22" s="512"/>
      <c r="E22" s="512"/>
      <c r="F22" s="512"/>
      <c r="G22" s="512"/>
      <c r="H22" s="540">
        <f>M5*3.3058</f>
        <v>83901.203999999998</v>
      </c>
      <c r="I22" s="651"/>
      <c r="J22" s="656"/>
      <c r="K22" s="648" t="s">
        <v>267</v>
      </c>
      <c r="L22" s="518"/>
      <c r="M22" s="518"/>
      <c r="N22" s="93">
        <v>0</v>
      </c>
    </row>
    <row r="23" spans="1:18" ht="20.100000000000001" customHeight="1">
      <c r="A23" s="646"/>
      <c r="B23" s="523"/>
      <c r="C23" s="649"/>
      <c r="D23" s="649"/>
      <c r="E23" s="649"/>
      <c r="F23" s="649"/>
      <c r="G23" s="649"/>
      <c r="H23" s="649"/>
      <c r="I23" s="650"/>
      <c r="J23" s="656"/>
      <c r="K23" s="648" t="s">
        <v>267</v>
      </c>
      <c r="L23" s="518"/>
      <c r="M23" s="518"/>
      <c r="N23" s="93">
        <v>0</v>
      </c>
    </row>
    <row r="24" spans="1:18" ht="20.100000000000001" customHeight="1">
      <c r="A24" s="647"/>
      <c r="B24" s="526"/>
      <c r="C24" s="527"/>
      <c r="D24" s="527"/>
      <c r="E24" s="527"/>
      <c r="F24" s="527"/>
      <c r="G24" s="527"/>
      <c r="H24" s="527"/>
      <c r="I24" s="528"/>
      <c r="J24" s="657"/>
      <c r="K24" s="652" t="s">
        <v>267</v>
      </c>
      <c r="L24" s="652"/>
      <c r="M24" s="652"/>
      <c r="N24" s="94">
        <v>0</v>
      </c>
    </row>
    <row r="25" spans="1:18" ht="24" customHeight="1">
      <c r="A25" s="501" t="s">
        <v>659</v>
      </c>
      <c r="B25" s="502"/>
      <c r="C25" s="502"/>
      <c r="D25" s="502"/>
      <c r="E25" s="502"/>
      <c r="F25" s="502"/>
      <c r="G25" s="502"/>
      <c r="H25" s="502"/>
      <c r="I25" s="502"/>
      <c r="J25" s="502"/>
      <c r="K25" s="502"/>
      <c r="L25" s="502"/>
      <c r="M25" s="502"/>
      <c r="N25" s="502"/>
      <c r="O25" s="76"/>
      <c r="P25" s="76"/>
      <c r="Q25" s="76"/>
      <c r="R25" s="76"/>
    </row>
    <row r="26" spans="1:18" ht="16.5">
      <c r="K26" s="155" t="s">
        <v>660</v>
      </c>
    </row>
    <row r="27" spans="1:18">
      <c r="K27" s="77"/>
    </row>
    <row r="28" spans="1:18">
      <c r="J28" s="47"/>
      <c r="K28" s="77"/>
    </row>
    <row r="29" spans="1:18">
      <c r="K29" s="77"/>
    </row>
    <row r="30" spans="1:18">
      <c r="K30" s="77"/>
    </row>
    <row r="31" spans="1:18">
      <c r="K31" s="77"/>
    </row>
    <row r="32" spans="1:18">
      <c r="K32" s="77"/>
    </row>
    <row r="33" spans="11:11">
      <c r="K33" s="77"/>
    </row>
    <row r="34" spans="11:11">
      <c r="K34" s="77"/>
    </row>
    <row r="35" spans="11:11">
      <c r="K35" s="77"/>
    </row>
    <row r="36" spans="11:11">
      <c r="K36" s="77"/>
    </row>
    <row r="37" spans="11:11">
      <c r="K37" s="77"/>
    </row>
    <row r="38" spans="11:11">
      <c r="K38" s="78"/>
    </row>
    <row r="39" spans="11:11">
      <c r="K39" s="77"/>
    </row>
    <row r="40" spans="11:11">
      <c r="K40" s="77"/>
    </row>
    <row r="41" spans="11:11">
      <c r="K41" s="78"/>
    </row>
    <row r="42" spans="11:11">
      <c r="K42" s="77"/>
    </row>
  </sheetData>
  <mergeCells count="86">
    <mergeCell ref="J4:K4"/>
    <mergeCell ref="J5:L5"/>
    <mergeCell ref="H5:I5"/>
    <mergeCell ref="A4:C4"/>
    <mergeCell ref="D3:I3"/>
    <mergeCell ref="A3:C3"/>
    <mergeCell ref="D4:I4"/>
    <mergeCell ref="A5:C5"/>
    <mergeCell ref="E5:G5"/>
    <mergeCell ref="E9:F9"/>
    <mergeCell ref="A9:A13"/>
    <mergeCell ref="B12:C12"/>
    <mergeCell ref="E12:F12"/>
    <mergeCell ref="B10:C10"/>
    <mergeCell ref="B9:C9"/>
    <mergeCell ref="E10:F10"/>
    <mergeCell ref="B11:C11"/>
    <mergeCell ref="B13:F13"/>
    <mergeCell ref="L1:M1"/>
    <mergeCell ref="A2:I2"/>
    <mergeCell ref="A1:H1"/>
    <mergeCell ref="M10:N10"/>
    <mergeCell ref="G10:H10"/>
    <mergeCell ref="G9:I9"/>
    <mergeCell ref="J2:N2"/>
    <mergeCell ref="M5:N5"/>
    <mergeCell ref="E6:G6"/>
    <mergeCell ref="M9:N9"/>
    <mergeCell ref="M6:N6"/>
    <mergeCell ref="M7:N7"/>
    <mergeCell ref="M3:N3"/>
    <mergeCell ref="A8:B8"/>
    <mergeCell ref="A6:B7"/>
    <mergeCell ref="J3:L3"/>
    <mergeCell ref="J14:N14"/>
    <mergeCell ref="J15:L15"/>
    <mergeCell ref="M11:N11"/>
    <mergeCell ref="M8:N8"/>
    <mergeCell ref="E7:G7"/>
    <mergeCell ref="G11:H11"/>
    <mergeCell ref="J12:L12"/>
    <mergeCell ref="G13:I13"/>
    <mergeCell ref="M13:N13"/>
    <mergeCell ref="J13:L13"/>
    <mergeCell ref="G12:H12"/>
    <mergeCell ref="M12:N12"/>
    <mergeCell ref="E8:G8"/>
    <mergeCell ref="M15:N15"/>
    <mergeCell ref="E11:F11"/>
    <mergeCell ref="I10:I12"/>
    <mergeCell ref="H15:I15"/>
    <mergeCell ref="J16:L16"/>
    <mergeCell ref="J17:L17"/>
    <mergeCell ref="J18:L19"/>
    <mergeCell ref="D16:E16"/>
    <mergeCell ref="F16:G16"/>
    <mergeCell ref="D15:E15"/>
    <mergeCell ref="F15:G15"/>
    <mergeCell ref="A14:I14"/>
    <mergeCell ref="M20:N20"/>
    <mergeCell ref="J20:L20"/>
    <mergeCell ref="A20:E20"/>
    <mergeCell ref="F20:I20"/>
    <mergeCell ref="H16:I16"/>
    <mergeCell ref="F17:G17"/>
    <mergeCell ref="H17:I17"/>
    <mergeCell ref="D17:E17"/>
    <mergeCell ref="A17:C17"/>
    <mergeCell ref="A18:C19"/>
    <mergeCell ref="M17:N17"/>
    <mergeCell ref="M18:N19"/>
    <mergeCell ref="M16:N16"/>
    <mergeCell ref="D18:I19"/>
    <mergeCell ref="A15:C15"/>
    <mergeCell ref="A25:N25"/>
    <mergeCell ref="B21:G21"/>
    <mergeCell ref="B22:G22"/>
    <mergeCell ref="H21:I21"/>
    <mergeCell ref="A21:A24"/>
    <mergeCell ref="K22:M22"/>
    <mergeCell ref="B23:I24"/>
    <mergeCell ref="H22:I22"/>
    <mergeCell ref="K24:M24"/>
    <mergeCell ref="K21:M21"/>
    <mergeCell ref="K23:M23"/>
    <mergeCell ref="J21:J24"/>
  </mergeCells>
  <phoneticPr fontId="3" type="noConversion"/>
  <printOptions horizontalCentered="1" verticalCentered="1"/>
  <pageMargins left="0.45" right="0.33" top="0.46" bottom="0.37" header="0.31496062992125984" footer="0.31496062992125984"/>
  <pageSetup paperSize="9" scale="98"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875C9-0EFD-45A2-AB46-A507AF736F71}">
  <sheetPr>
    <pageSetUpPr fitToPage="1"/>
  </sheetPr>
  <dimension ref="A1:Q26"/>
  <sheetViews>
    <sheetView topLeftCell="A13" zoomScale="90" workbookViewId="0">
      <selection activeCell="O2" sqref="O2:Q2"/>
    </sheetView>
  </sheetViews>
  <sheetFormatPr defaultRowHeight="15.75"/>
  <cols>
    <col min="1" max="1" width="6.625" style="32" customWidth="1"/>
    <col min="2" max="2" width="3.875" style="32" customWidth="1"/>
    <col min="3" max="3" width="6.5" style="32" customWidth="1"/>
    <col min="4" max="4" width="7.625" style="32" customWidth="1"/>
    <col min="5" max="5" width="8.125" style="32" customWidth="1"/>
    <col min="6" max="6" width="6.375" style="32" customWidth="1"/>
    <col min="7" max="7" width="8.125" style="32" customWidth="1"/>
    <col min="8" max="8" width="12.625" style="32" customWidth="1"/>
    <col min="9" max="9" width="7.875" style="32" customWidth="1"/>
    <col min="10" max="10" width="19.625" style="32" customWidth="1"/>
    <col min="11" max="11" width="20.625" style="32" customWidth="1"/>
    <col min="12" max="12" width="7.125" style="32" customWidth="1"/>
    <col min="13" max="13" width="10.125" style="32" customWidth="1"/>
    <col min="14" max="14" width="14.375" style="32" customWidth="1"/>
    <col min="15" max="16384" width="9" style="32"/>
  </cols>
  <sheetData>
    <row r="1" spans="1:17" ht="21">
      <c r="A1" s="615" t="s">
        <v>446</v>
      </c>
      <c r="B1" s="616"/>
      <c r="C1" s="616"/>
      <c r="D1" s="616"/>
      <c r="E1" s="616"/>
      <c r="F1" s="616"/>
      <c r="G1" s="616"/>
      <c r="H1" s="616"/>
      <c r="I1" s="154" t="s">
        <v>36</v>
      </c>
      <c r="J1" s="334">
        <v>1040301</v>
      </c>
      <c r="K1" s="334" t="s">
        <v>554</v>
      </c>
      <c r="L1" s="638" t="s">
        <v>34</v>
      </c>
      <c r="M1" s="639"/>
      <c r="N1" s="31">
        <v>3</v>
      </c>
      <c r="O1" s="443"/>
      <c r="P1" s="443"/>
      <c r="Q1" s="443"/>
    </row>
    <row r="2" spans="1:17" ht="20.100000000000001" customHeight="1">
      <c r="A2" s="622" t="s">
        <v>120</v>
      </c>
      <c r="B2" s="623"/>
      <c r="C2" s="623"/>
      <c r="D2" s="623"/>
      <c r="E2" s="623"/>
      <c r="F2" s="623"/>
      <c r="G2" s="623"/>
      <c r="H2" s="623"/>
      <c r="I2" s="624"/>
      <c r="J2" s="640" t="s">
        <v>35</v>
      </c>
      <c r="K2" s="641"/>
      <c r="L2" s="641"/>
      <c r="M2" s="641"/>
      <c r="N2" s="642"/>
      <c r="O2" s="443"/>
      <c r="P2" s="443"/>
      <c r="Q2" s="443"/>
    </row>
    <row r="3" spans="1:17" ht="20.100000000000001" customHeight="1">
      <c r="A3" s="625" t="s">
        <v>97</v>
      </c>
      <c r="B3" s="626"/>
      <c r="C3" s="626"/>
      <c r="D3" s="724" t="s">
        <v>188</v>
      </c>
      <c r="E3" s="724"/>
      <c r="F3" s="724"/>
      <c r="G3" s="724"/>
      <c r="H3" s="724"/>
      <c r="I3" s="743"/>
      <c r="J3" s="609" t="s">
        <v>189</v>
      </c>
      <c r="K3" s="610"/>
      <c r="L3" s="610"/>
      <c r="M3" s="710">
        <v>30900</v>
      </c>
      <c r="N3" s="711"/>
    </row>
    <row r="4" spans="1:17" ht="20.100000000000001" customHeight="1">
      <c r="A4" s="575" t="s">
        <v>121</v>
      </c>
      <c r="B4" s="576"/>
      <c r="C4" s="576"/>
      <c r="D4" s="619" t="s">
        <v>122</v>
      </c>
      <c r="E4" s="619"/>
      <c r="F4" s="619"/>
      <c r="G4" s="619"/>
      <c r="H4" s="619"/>
      <c r="I4" s="742"/>
      <c r="J4" s="592" t="s">
        <v>190</v>
      </c>
      <c r="K4" s="604"/>
      <c r="L4" s="87">
        <v>1.1000000000000001</v>
      </c>
      <c r="M4" s="57" t="s">
        <v>123</v>
      </c>
      <c r="N4" s="88" t="s">
        <v>571</v>
      </c>
    </row>
    <row r="5" spans="1:17" ht="20.100000000000001" customHeight="1">
      <c r="A5" s="575" t="s">
        <v>22</v>
      </c>
      <c r="B5" s="576"/>
      <c r="C5" s="576"/>
      <c r="D5" s="33">
        <v>210</v>
      </c>
      <c r="E5" s="629" t="s">
        <v>23</v>
      </c>
      <c r="F5" s="576"/>
      <c r="G5" s="576"/>
      <c r="H5" s="619" t="s">
        <v>420</v>
      </c>
      <c r="I5" s="742"/>
      <c r="J5" s="511" t="s">
        <v>191</v>
      </c>
      <c r="K5" s="605"/>
      <c r="L5" s="605"/>
      <c r="M5" s="682">
        <f>ROUND(M3*L4,0)</f>
        <v>33990</v>
      </c>
      <c r="N5" s="683"/>
    </row>
    <row r="6" spans="1:17" ht="20.100000000000001" customHeight="1">
      <c r="A6" s="575" t="s">
        <v>192</v>
      </c>
      <c r="B6" s="576"/>
      <c r="C6" s="381" t="s">
        <v>193</v>
      </c>
      <c r="D6" s="33">
        <v>12</v>
      </c>
      <c r="E6" s="593" t="s">
        <v>98</v>
      </c>
      <c r="F6" s="594"/>
      <c r="G6" s="594"/>
      <c r="H6" s="40">
        <v>140</v>
      </c>
      <c r="I6" s="396" t="s">
        <v>195</v>
      </c>
      <c r="J6" s="35" t="s">
        <v>196</v>
      </c>
      <c r="K6" s="70" t="s">
        <v>234</v>
      </c>
      <c r="L6" s="41">
        <v>2.5000000000000001E-2</v>
      </c>
      <c r="M6" s="708">
        <f>ROUND(M5*L6,0)</f>
        <v>850</v>
      </c>
      <c r="N6" s="709"/>
    </row>
    <row r="7" spans="1:17" ht="20.100000000000001" customHeight="1">
      <c r="A7" s="577"/>
      <c r="B7" s="576"/>
      <c r="C7" s="381" t="s">
        <v>235</v>
      </c>
      <c r="D7" s="33">
        <v>0</v>
      </c>
      <c r="E7" s="632" t="s">
        <v>124</v>
      </c>
      <c r="F7" s="633"/>
      <c r="G7" s="633"/>
      <c r="H7" s="40">
        <v>128</v>
      </c>
      <c r="I7" s="396" t="s">
        <v>195</v>
      </c>
      <c r="J7" s="35" t="s">
        <v>236</v>
      </c>
      <c r="K7" s="70" t="s">
        <v>125</v>
      </c>
      <c r="L7" s="41">
        <v>4.4999999999999998E-2</v>
      </c>
      <c r="M7" s="684">
        <f>ROUND((M5+M6)*L7*(1+L10)*(1+L11)/(1-(L7+L8+L9)*(1+L10)*(1+L11)),0)</f>
        <v>2019</v>
      </c>
      <c r="N7" s="685"/>
    </row>
    <row r="8" spans="1:17" ht="20.100000000000001" customHeight="1">
      <c r="A8" s="595" t="s">
        <v>237</v>
      </c>
      <c r="B8" s="596"/>
      <c r="C8" s="382" t="s">
        <v>238</v>
      </c>
      <c r="D8" s="92">
        <v>3</v>
      </c>
      <c r="E8" s="598" t="s">
        <v>239</v>
      </c>
      <c r="F8" s="596"/>
      <c r="G8" s="596"/>
      <c r="H8" s="209">
        <v>2.2000000000000002</v>
      </c>
      <c r="I8" s="397" t="s">
        <v>240</v>
      </c>
      <c r="J8" s="35" t="s">
        <v>241</v>
      </c>
      <c r="K8" s="70" t="s">
        <v>125</v>
      </c>
      <c r="L8" s="41">
        <v>4.4999999999999998E-2</v>
      </c>
      <c r="M8" s="684">
        <f>ROUND((M5+M6)*L8*(1+L10)*(1+L11)/(1-(L7+L8+L9)*(1+L10)*(1+L11)),0)</f>
        <v>2019</v>
      </c>
      <c r="N8" s="685"/>
    </row>
    <row r="9" spans="1:17" ht="20.100000000000001" customHeight="1">
      <c r="A9" s="580" t="s">
        <v>242</v>
      </c>
      <c r="B9" s="597" t="s">
        <v>24</v>
      </c>
      <c r="C9" s="572"/>
      <c r="D9" s="392" t="s">
        <v>25</v>
      </c>
      <c r="E9" s="562" t="s">
        <v>26</v>
      </c>
      <c r="F9" s="572"/>
      <c r="G9" s="562" t="s">
        <v>27</v>
      </c>
      <c r="H9" s="578"/>
      <c r="I9" s="579"/>
      <c r="J9" s="90" t="s">
        <v>243</v>
      </c>
      <c r="K9" s="70" t="s">
        <v>125</v>
      </c>
      <c r="L9" s="41">
        <v>0.01</v>
      </c>
      <c r="M9" s="706">
        <f>ROUND((M5+M6)*L9*(1+L10)*(1+L11)/(1-(L7+L8+L9)*(1+L10)*(1+L11)),0)</f>
        <v>449</v>
      </c>
      <c r="N9" s="707"/>
    </row>
    <row r="10" spans="1:17" ht="20.100000000000001" customHeight="1">
      <c r="A10" s="581"/>
      <c r="B10" s="529" t="s">
        <v>28</v>
      </c>
      <c r="C10" s="530"/>
      <c r="D10" s="36">
        <v>1.3599999999999999E-2</v>
      </c>
      <c r="E10" s="736">
        <v>0.4</v>
      </c>
      <c r="F10" s="605"/>
      <c r="G10" s="737">
        <f>ROUND(D10*E10,4)</f>
        <v>5.4000000000000003E-3</v>
      </c>
      <c r="H10" s="737"/>
      <c r="I10" s="738">
        <f>G10+G11+G12</f>
        <v>1.7000000000000001E-2</v>
      </c>
      <c r="J10" s="35" t="s">
        <v>244</v>
      </c>
      <c r="K10" s="69" t="s">
        <v>119</v>
      </c>
      <c r="L10" s="43">
        <f>I10*G13*H8</f>
        <v>1.8700000000000001E-2</v>
      </c>
      <c r="M10" s="699">
        <f>ROUND((M5+M6+M7+M8+M9)*L10,0)</f>
        <v>735</v>
      </c>
      <c r="N10" s="700"/>
    </row>
    <row r="11" spans="1:17" ht="20.100000000000001" customHeight="1">
      <c r="A11" s="581"/>
      <c r="B11" s="529" t="s">
        <v>29</v>
      </c>
      <c r="C11" s="530"/>
      <c r="D11" s="36">
        <v>2.8899999999999999E-2</v>
      </c>
      <c r="E11" s="736">
        <v>0.4</v>
      </c>
      <c r="F11" s="736"/>
      <c r="G11" s="737">
        <f>ROUND(D11*E11,4)</f>
        <v>1.1599999999999999E-2</v>
      </c>
      <c r="H11" s="737"/>
      <c r="I11" s="738"/>
      <c r="J11" s="35" t="s">
        <v>245</v>
      </c>
      <c r="K11" s="71" t="s">
        <v>246</v>
      </c>
      <c r="L11" s="44">
        <v>0.12</v>
      </c>
      <c r="M11" s="682">
        <f>ROUND((M5+M6+M7+M8+M9+M10)*L11,0)</f>
        <v>4807</v>
      </c>
      <c r="N11" s="683"/>
    </row>
    <row r="12" spans="1:17" ht="20.100000000000001" customHeight="1">
      <c r="A12" s="581"/>
      <c r="B12" s="529" t="s">
        <v>30</v>
      </c>
      <c r="C12" s="530"/>
      <c r="D12" s="37">
        <v>0</v>
      </c>
      <c r="E12" s="736">
        <v>0.2</v>
      </c>
      <c r="F12" s="736"/>
      <c r="G12" s="737">
        <f>ROUND(D12*E12,4)</f>
        <v>0</v>
      </c>
      <c r="H12" s="737"/>
      <c r="I12" s="738"/>
      <c r="J12" s="592" t="s">
        <v>247</v>
      </c>
      <c r="K12" s="512"/>
      <c r="L12" s="512"/>
      <c r="M12" s="684">
        <f>ROUND((M5+M6+M7+M8+M9)+M10+M11,0)</f>
        <v>44869</v>
      </c>
      <c r="N12" s="685"/>
    </row>
    <row r="13" spans="1:17" ht="20.100000000000001" customHeight="1">
      <c r="A13" s="581"/>
      <c r="B13" s="531" t="s">
        <v>126</v>
      </c>
      <c r="C13" s="573"/>
      <c r="D13" s="573"/>
      <c r="E13" s="573"/>
      <c r="F13" s="573"/>
      <c r="G13" s="739">
        <v>0.5</v>
      </c>
      <c r="H13" s="573"/>
      <c r="I13" s="740"/>
      <c r="J13" s="531" t="s">
        <v>127</v>
      </c>
      <c r="K13" s="601"/>
      <c r="L13" s="601"/>
      <c r="M13" s="691">
        <f>ROUND(M12-F20,0)</f>
        <v>34531</v>
      </c>
      <c r="N13" s="692"/>
    </row>
    <row r="14" spans="1:17" ht="20.100000000000001" customHeight="1">
      <c r="A14" s="566" t="s">
        <v>248</v>
      </c>
      <c r="B14" s="567"/>
      <c r="C14" s="567"/>
      <c r="D14" s="567"/>
      <c r="E14" s="567"/>
      <c r="F14" s="567"/>
      <c r="G14" s="567"/>
      <c r="H14" s="567"/>
      <c r="I14" s="567"/>
      <c r="J14" s="586" t="s">
        <v>249</v>
      </c>
      <c r="K14" s="587"/>
      <c r="L14" s="587"/>
      <c r="M14" s="587"/>
      <c r="N14" s="587"/>
    </row>
    <row r="15" spans="1:17" ht="20.100000000000001" customHeight="1">
      <c r="A15" s="564" t="s">
        <v>250</v>
      </c>
      <c r="B15" s="565"/>
      <c r="C15" s="565"/>
      <c r="D15" s="562" t="s">
        <v>251</v>
      </c>
      <c r="E15" s="572"/>
      <c r="F15" s="562" t="s">
        <v>252</v>
      </c>
      <c r="G15" s="572"/>
      <c r="H15" s="562" t="s">
        <v>253</v>
      </c>
      <c r="I15" s="563"/>
      <c r="J15" s="584" t="s">
        <v>254</v>
      </c>
      <c r="K15" s="585"/>
      <c r="L15" s="585"/>
      <c r="M15" s="582">
        <v>21000000</v>
      </c>
      <c r="N15" s="583"/>
    </row>
    <row r="16" spans="1:17" ht="20.100000000000001" customHeight="1">
      <c r="A16" s="45">
        <v>88</v>
      </c>
      <c r="B16" s="38" t="s">
        <v>255</v>
      </c>
      <c r="C16" s="46">
        <v>4</v>
      </c>
      <c r="D16" s="741">
        <v>12.8</v>
      </c>
      <c r="E16" s="741"/>
      <c r="F16" s="735">
        <f>H16-D16</f>
        <v>37.200000000000003</v>
      </c>
      <c r="G16" s="735"/>
      <c r="H16" s="731">
        <v>50</v>
      </c>
      <c r="I16" s="732"/>
      <c r="J16" s="673" t="s">
        <v>256</v>
      </c>
      <c r="K16" s="674"/>
      <c r="L16" s="674"/>
      <c r="M16" s="733">
        <f>M15+N21+N22+N23+N24</f>
        <v>19500000</v>
      </c>
      <c r="N16" s="734"/>
    </row>
    <row r="17" spans="1:14" ht="20.100000000000001" customHeight="1">
      <c r="A17" s="529" t="s">
        <v>31</v>
      </c>
      <c r="B17" s="530"/>
      <c r="C17" s="530"/>
      <c r="D17" s="669" t="s">
        <v>257</v>
      </c>
      <c r="E17" s="670"/>
      <c r="F17" s="547" t="s">
        <v>258</v>
      </c>
      <c r="G17" s="530"/>
      <c r="H17" s="667">
        <v>0.1</v>
      </c>
      <c r="I17" s="668"/>
      <c r="J17" s="673" t="s">
        <v>130</v>
      </c>
      <c r="K17" s="674"/>
      <c r="L17" s="674"/>
      <c r="M17" s="733">
        <f>ROUND(M13*H7,0)</f>
        <v>4419968</v>
      </c>
      <c r="N17" s="734"/>
    </row>
    <row r="18" spans="1:14" ht="20.100000000000001" customHeight="1">
      <c r="A18" s="544" t="s">
        <v>259</v>
      </c>
      <c r="B18" s="545"/>
      <c r="C18" s="545"/>
      <c r="D18" s="671" t="s">
        <v>260</v>
      </c>
      <c r="E18" s="545"/>
      <c r="F18" s="545"/>
      <c r="G18" s="545"/>
      <c r="H18" s="545"/>
      <c r="I18" s="672"/>
      <c r="J18" s="673" t="s">
        <v>261</v>
      </c>
      <c r="K18" s="674"/>
      <c r="L18" s="674"/>
      <c r="M18" s="746">
        <v>19</v>
      </c>
      <c r="N18" s="747"/>
    </row>
    <row r="19" spans="1:14" ht="20.100000000000001" customHeight="1">
      <c r="A19" s="546"/>
      <c r="B19" s="545"/>
      <c r="C19" s="545"/>
      <c r="D19" s="545"/>
      <c r="E19" s="545"/>
      <c r="F19" s="545"/>
      <c r="G19" s="545"/>
      <c r="H19" s="545"/>
      <c r="I19" s="672"/>
      <c r="J19" s="673" t="s">
        <v>262</v>
      </c>
      <c r="K19" s="674"/>
      <c r="L19" s="674"/>
      <c r="M19" s="733">
        <f>ROUND((M16-M17)/M18,0)</f>
        <v>793686</v>
      </c>
      <c r="N19" s="734"/>
    </row>
    <row r="20" spans="1:14" ht="20.100000000000001" customHeight="1">
      <c r="A20" s="531" t="s">
        <v>263</v>
      </c>
      <c r="B20" s="532"/>
      <c r="C20" s="532"/>
      <c r="D20" s="532"/>
      <c r="E20" s="532"/>
      <c r="F20" s="663">
        <f>ROUND((1-H17)/H16*D16*M12,0)</f>
        <v>10338</v>
      </c>
      <c r="G20" s="663"/>
      <c r="H20" s="663"/>
      <c r="I20" s="664"/>
      <c r="J20" s="513" t="s">
        <v>264</v>
      </c>
      <c r="K20" s="514"/>
      <c r="L20" s="514"/>
      <c r="M20" s="503">
        <f>ROUND(M19*102%/100.73%,0)</f>
        <v>803693</v>
      </c>
      <c r="N20" s="504"/>
    </row>
    <row r="21" spans="1:14" ht="20.100000000000001" customHeight="1">
      <c r="A21" s="505" t="s">
        <v>131</v>
      </c>
      <c r="B21" s="507" t="s">
        <v>132</v>
      </c>
      <c r="C21" s="508"/>
      <c r="D21" s="508"/>
      <c r="E21" s="508"/>
      <c r="F21" s="508"/>
      <c r="G21" s="508"/>
      <c r="H21" s="744">
        <f>ROUND(M16/H7*3.3058,-2)</f>
        <v>503600</v>
      </c>
      <c r="I21" s="745"/>
      <c r="J21" s="542" t="s">
        <v>265</v>
      </c>
      <c r="K21" s="750" t="s">
        <v>266</v>
      </c>
      <c r="L21" s="751"/>
      <c r="M21" s="751"/>
      <c r="N21" s="72">
        <v>-1500000</v>
      </c>
    </row>
    <row r="22" spans="1:14" ht="20.100000000000001" customHeight="1">
      <c r="A22" s="506"/>
      <c r="B22" s="511" t="s">
        <v>133</v>
      </c>
      <c r="C22" s="512"/>
      <c r="D22" s="512"/>
      <c r="E22" s="512"/>
      <c r="F22" s="512"/>
      <c r="G22" s="512"/>
      <c r="H22" s="540">
        <f>M5*3.3058</f>
        <v>112364.14200000001</v>
      </c>
      <c r="I22" s="541"/>
      <c r="J22" s="543"/>
      <c r="K22" s="748" t="s">
        <v>267</v>
      </c>
      <c r="L22" s="749"/>
      <c r="M22" s="749"/>
      <c r="N22" s="93">
        <v>0</v>
      </c>
    </row>
    <row r="23" spans="1:14" ht="20.100000000000001" customHeight="1">
      <c r="A23" s="506"/>
      <c r="B23" s="523"/>
      <c r="C23" s="524"/>
      <c r="D23" s="524"/>
      <c r="E23" s="524"/>
      <c r="F23" s="524"/>
      <c r="G23" s="524"/>
      <c r="H23" s="524"/>
      <c r="I23" s="525"/>
      <c r="J23" s="543"/>
      <c r="K23" s="748" t="s">
        <v>267</v>
      </c>
      <c r="L23" s="749"/>
      <c r="M23" s="749"/>
      <c r="N23" s="93">
        <v>0</v>
      </c>
    </row>
    <row r="24" spans="1:14" ht="20.100000000000001" customHeight="1">
      <c r="A24" s="506"/>
      <c r="B24" s="526"/>
      <c r="C24" s="527"/>
      <c r="D24" s="527"/>
      <c r="E24" s="527"/>
      <c r="F24" s="527"/>
      <c r="G24" s="527"/>
      <c r="H24" s="527"/>
      <c r="I24" s="528"/>
      <c r="J24" s="543"/>
      <c r="K24" s="752" t="s">
        <v>267</v>
      </c>
      <c r="L24" s="753"/>
      <c r="M24" s="753"/>
      <c r="N24" s="94">
        <v>0</v>
      </c>
    </row>
    <row r="25" spans="1:14" ht="24" customHeight="1">
      <c r="A25" s="501" t="s">
        <v>659</v>
      </c>
      <c r="B25" s="502"/>
      <c r="C25" s="502"/>
      <c r="D25" s="502"/>
      <c r="E25" s="502"/>
      <c r="F25" s="502"/>
      <c r="G25" s="502"/>
      <c r="H25" s="502"/>
      <c r="I25" s="502"/>
      <c r="J25" s="502"/>
      <c r="K25" s="502"/>
      <c r="L25" s="502"/>
      <c r="M25" s="502"/>
      <c r="N25" s="502"/>
    </row>
    <row r="26" spans="1:14" ht="16.5">
      <c r="K26" s="155" t="s">
        <v>660</v>
      </c>
    </row>
  </sheetData>
  <mergeCells count="88">
    <mergeCell ref="K23:M23"/>
    <mergeCell ref="K21:M21"/>
    <mergeCell ref="K22:M22"/>
    <mergeCell ref="A21:A24"/>
    <mergeCell ref="B23:I24"/>
    <mergeCell ref="J21:J24"/>
    <mergeCell ref="K24:M24"/>
    <mergeCell ref="B22:G22"/>
    <mergeCell ref="H22:I22"/>
    <mergeCell ref="B21:G21"/>
    <mergeCell ref="M19:N19"/>
    <mergeCell ref="M20:N20"/>
    <mergeCell ref="H21:I21"/>
    <mergeCell ref="A18:C19"/>
    <mergeCell ref="J19:L19"/>
    <mergeCell ref="D18:I19"/>
    <mergeCell ref="J20:L20"/>
    <mergeCell ref="A20:E20"/>
    <mergeCell ref="F20:I20"/>
    <mergeCell ref="M18:N18"/>
    <mergeCell ref="J18:L18"/>
    <mergeCell ref="M5:N5"/>
    <mergeCell ref="M9:N9"/>
    <mergeCell ref="J5:L5"/>
    <mergeCell ref="M7:N7"/>
    <mergeCell ref="M8:N8"/>
    <mergeCell ref="L1:M1"/>
    <mergeCell ref="J4:K4"/>
    <mergeCell ref="A1:H1"/>
    <mergeCell ref="A2:I2"/>
    <mergeCell ref="D4:I4"/>
    <mergeCell ref="D3:I3"/>
    <mergeCell ref="A4:C4"/>
    <mergeCell ref="M3:N3"/>
    <mergeCell ref="J2:N2"/>
    <mergeCell ref="A3:C3"/>
    <mergeCell ref="E5:G5"/>
    <mergeCell ref="H5:I5"/>
    <mergeCell ref="J3:L3"/>
    <mergeCell ref="E6:G6"/>
    <mergeCell ref="A5:C5"/>
    <mergeCell ref="A6:B7"/>
    <mergeCell ref="E7:G7"/>
    <mergeCell ref="F17:G17"/>
    <mergeCell ref="G11:H11"/>
    <mergeCell ref="I10:I12"/>
    <mergeCell ref="M12:N12"/>
    <mergeCell ref="E10:F10"/>
    <mergeCell ref="M15:N15"/>
    <mergeCell ref="J12:L12"/>
    <mergeCell ref="M13:N13"/>
    <mergeCell ref="J15:L15"/>
    <mergeCell ref="B13:F13"/>
    <mergeCell ref="E12:F12"/>
    <mergeCell ref="G12:H12"/>
    <mergeCell ref="G13:I13"/>
    <mergeCell ref="J13:L13"/>
    <mergeCell ref="D16:E16"/>
    <mergeCell ref="M10:N10"/>
    <mergeCell ref="B11:C11"/>
    <mergeCell ref="B9:C9"/>
    <mergeCell ref="M6:N6"/>
    <mergeCell ref="E11:F11"/>
    <mergeCell ref="E9:F9"/>
    <mergeCell ref="B10:C10"/>
    <mergeCell ref="M11:N11"/>
    <mergeCell ref="A8:B8"/>
    <mergeCell ref="G9:I9"/>
    <mergeCell ref="E8:G8"/>
    <mergeCell ref="G10:H10"/>
    <mergeCell ref="A9:A13"/>
    <mergeCell ref="B12:C12"/>
    <mergeCell ref="H16:I16"/>
    <mergeCell ref="A25:N25"/>
    <mergeCell ref="D15:E15"/>
    <mergeCell ref="J14:N14"/>
    <mergeCell ref="A15:C15"/>
    <mergeCell ref="A14:I14"/>
    <mergeCell ref="H17:I17"/>
    <mergeCell ref="M17:N17"/>
    <mergeCell ref="A17:C17"/>
    <mergeCell ref="M16:N16"/>
    <mergeCell ref="F15:G15"/>
    <mergeCell ref="J17:L17"/>
    <mergeCell ref="H15:I15"/>
    <mergeCell ref="J16:L16"/>
    <mergeCell ref="D17:E17"/>
    <mergeCell ref="F16:G16"/>
  </mergeCells>
  <phoneticPr fontId="3" type="noConversion"/>
  <printOptions horizontalCentered="1" verticalCentered="1"/>
  <pageMargins left="0.33" right="0.33" top="0.43" bottom="0.39" header="0.31496062992125984" footer="0.31496062992125984"/>
  <pageSetup paperSize="9"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0D7AB-F0AC-429C-A95D-CC3148FCC472}">
  <sheetPr>
    <tabColor indexed="10"/>
    <pageSetUpPr fitToPage="1"/>
  </sheetPr>
  <dimension ref="A1:X34"/>
  <sheetViews>
    <sheetView topLeftCell="A19" zoomScale="85" zoomScaleNormal="85" zoomScaleSheetLayoutView="100" workbookViewId="0">
      <selection activeCell="O2" sqref="O2:Q2"/>
    </sheetView>
  </sheetViews>
  <sheetFormatPr defaultRowHeight="12"/>
  <cols>
    <col min="1" max="1" width="4.5" style="48" customWidth="1"/>
    <col min="2" max="2" width="9.375" style="48" customWidth="1"/>
    <col min="3" max="3" width="11.125" style="48" customWidth="1"/>
    <col min="4" max="4" width="12.375" style="48" customWidth="1"/>
    <col min="5" max="6" width="11.625" style="48" customWidth="1"/>
    <col min="7" max="7" width="11.75" style="48" customWidth="1"/>
    <col min="8" max="8" width="8.75" style="48" customWidth="1"/>
    <col min="9" max="9" width="11.25" style="48" customWidth="1"/>
    <col min="10" max="10" width="8.5" style="48" customWidth="1"/>
    <col min="11" max="11" width="2.625" style="48" customWidth="1"/>
    <col min="12" max="12" width="5.75" style="48" customWidth="1"/>
    <col min="13" max="13" width="4.125" style="48" customWidth="1"/>
    <col min="14" max="14" width="4.75" style="48" customWidth="1"/>
    <col min="15" max="15" width="3.75" style="48" customWidth="1"/>
    <col min="16" max="16" width="7.875" style="48" customWidth="1"/>
    <col min="17" max="17" width="11.25" style="48" customWidth="1"/>
    <col min="18" max="18" width="5" style="48" customWidth="1"/>
    <col min="19" max="19" width="7.25" style="48" customWidth="1"/>
    <col min="20" max="20" width="11.125" style="48" customWidth="1"/>
    <col min="21" max="21" width="5.5" style="48" customWidth="1"/>
    <col min="22" max="22" width="7.25" style="48" customWidth="1"/>
    <col min="23" max="23" width="5.875" style="48" customWidth="1"/>
    <col min="24" max="16384" width="9" style="48"/>
  </cols>
  <sheetData>
    <row r="1" spans="1:24" ht="32.25" customHeight="1">
      <c r="A1" s="777" t="s">
        <v>716</v>
      </c>
      <c r="B1" s="778"/>
      <c r="C1" s="778"/>
      <c r="D1" s="778"/>
      <c r="E1" s="778"/>
      <c r="F1" s="778"/>
      <c r="G1" s="778"/>
      <c r="H1" s="774" t="s">
        <v>584</v>
      </c>
      <c r="I1" s="779"/>
      <c r="J1" s="773">
        <v>1040301</v>
      </c>
      <c r="K1" s="773"/>
      <c r="L1" s="774" t="s">
        <v>585</v>
      </c>
      <c r="M1" s="775"/>
      <c r="N1" s="775"/>
      <c r="O1" s="776"/>
      <c r="P1" s="772" t="s">
        <v>586</v>
      </c>
      <c r="Q1" s="772"/>
      <c r="R1" s="769" t="s">
        <v>587</v>
      </c>
      <c r="S1" s="770"/>
      <c r="T1" s="771"/>
      <c r="U1" s="762" t="s">
        <v>726</v>
      </c>
      <c r="V1" s="762"/>
      <c r="W1" s="74"/>
    </row>
    <row r="2" spans="1:24" s="74" customFormat="1" ht="24.75" customHeight="1">
      <c r="A2" s="797" t="s">
        <v>588</v>
      </c>
      <c r="B2" s="798"/>
      <c r="C2" s="808" t="s">
        <v>589</v>
      </c>
      <c r="D2" s="809"/>
      <c r="E2" s="809"/>
      <c r="F2" s="809"/>
      <c r="G2" s="809"/>
      <c r="H2" s="794" t="s">
        <v>590</v>
      </c>
      <c r="I2" s="810"/>
      <c r="J2" s="796" t="s">
        <v>689</v>
      </c>
      <c r="K2" s="495"/>
      <c r="L2" s="495"/>
      <c r="M2" s="495"/>
      <c r="N2" s="495"/>
      <c r="O2" s="495"/>
      <c r="P2" s="495"/>
      <c r="Q2" s="495"/>
      <c r="R2" s="794" t="s">
        <v>591</v>
      </c>
      <c r="S2" s="795"/>
      <c r="T2" s="782" t="s">
        <v>690</v>
      </c>
      <c r="U2" s="783"/>
      <c r="V2" s="784"/>
    </row>
    <row r="3" spans="1:24" s="49" customFormat="1" ht="43.5" customHeight="1">
      <c r="A3" s="799" t="s">
        <v>592</v>
      </c>
      <c r="B3" s="346" t="s">
        <v>640</v>
      </c>
      <c r="C3" s="347">
        <v>457.4</v>
      </c>
      <c r="D3" s="348" t="s">
        <v>641</v>
      </c>
      <c r="E3" s="349">
        <v>61</v>
      </c>
      <c r="F3" s="350" t="s">
        <v>593</v>
      </c>
      <c r="G3" s="351">
        <v>16</v>
      </c>
      <c r="H3" s="780" t="s">
        <v>594</v>
      </c>
      <c r="I3" s="781"/>
      <c r="J3" s="352">
        <v>8</v>
      </c>
      <c r="K3" s="812" t="s">
        <v>595</v>
      </c>
      <c r="L3" s="813"/>
      <c r="M3" s="813"/>
      <c r="N3" s="813"/>
      <c r="O3" s="813"/>
      <c r="P3" s="767">
        <f>C3*'95表2收益附-成本法'!M16</f>
        <v>20810785.199999999</v>
      </c>
      <c r="Q3" s="768"/>
      <c r="R3" s="791" t="s">
        <v>596</v>
      </c>
      <c r="S3" s="781"/>
      <c r="T3" s="785">
        <f>C3*'95表2收益附-成本法'!M18</f>
        <v>15191873.196</v>
      </c>
      <c r="U3" s="785"/>
      <c r="V3" s="786"/>
      <c r="X3" s="109"/>
    </row>
    <row r="4" spans="1:24" ht="24" customHeight="1">
      <c r="A4" s="800"/>
      <c r="B4" s="763" t="s">
        <v>676</v>
      </c>
      <c r="C4" s="764"/>
      <c r="D4" s="764"/>
      <c r="E4" s="764"/>
      <c r="F4" s="811">
        <f>U24</f>
        <v>643</v>
      </c>
      <c r="G4" s="820"/>
      <c r="H4" s="820"/>
      <c r="I4" s="820"/>
      <c r="J4" s="821"/>
      <c r="K4" s="792" t="s">
        <v>0</v>
      </c>
      <c r="L4" s="793"/>
      <c r="M4" s="793"/>
      <c r="N4" s="793"/>
      <c r="O4" s="793"/>
      <c r="P4" s="793"/>
      <c r="Q4" s="793"/>
      <c r="R4" s="765" t="s">
        <v>691</v>
      </c>
      <c r="S4" s="765"/>
      <c r="T4" s="765"/>
      <c r="U4" s="765"/>
      <c r="V4" s="766"/>
    </row>
    <row r="5" spans="1:24" ht="24" customHeight="1">
      <c r="A5" s="800"/>
      <c r="B5" s="763" t="s">
        <v>642</v>
      </c>
      <c r="C5" s="764"/>
      <c r="D5" s="764"/>
      <c r="E5" s="764"/>
      <c r="F5" s="811">
        <f>ROUND(F4*12*C3,0)</f>
        <v>3529298</v>
      </c>
      <c r="G5" s="802"/>
      <c r="H5" s="802"/>
      <c r="I5" s="802"/>
      <c r="J5" s="803"/>
      <c r="K5" s="792" t="s">
        <v>598</v>
      </c>
      <c r="L5" s="793"/>
      <c r="M5" s="793"/>
      <c r="N5" s="793"/>
      <c r="O5" s="793"/>
      <c r="P5" s="793"/>
      <c r="Q5" s="793"/>
      <c r="R5" s="789">
        <f>F5</f>
        <v>3529298</v>
      </c>
      <c r="S5" s="789"/>
      <c r="T5" s="789"/>
      <c r="U5" s="789"/>
      <c r="V5" s="790"/>
    </row>
    <row r="6" spans="1:24" ht="24" customHeight="1">
      <c r="A6" s="800"/>
      <c r="B6" s="763" t="s">
        <v>643</v>
      </c>
      <c r="C6" s="764"/>
      <c r="D6" s="764"/>
      <c r="E6" s="764"/>
      <c r="F6" s="789">
        <f>ROUND(F4*C3*3,0)</f>
        <v>882325</v>
      </c>
      <c r="G6" s="802"/>
      <c r="H6" s="802"/>
      <c r="I6" s="802"/>
      <c r="J6" s="803"/>
      <c r="K6" s="756" t="s">
        <v>644</v>
      </c>
      <c r="L6" s="757"/>
      <c r="M6" s="757"/>
      <c r="N6" s="757"/>
      <c r="O6" s="757"/>
      <c r="P6" s="757"/>
      <c r="Q6" s="757"/>
      <c r="R6" s="787">
        <v>1.3599999999999999E-2</v>
      </c>
      <c r="S6" s="787"/>
      <c r="T6" s="787"/>
      <c r="U6" s="787"/>
      <c r="V6" s="788"/>
    </row>
    <row r="7" spans="1:24" ht="24" customHeight="1">
      <c r="A7" s="800"/>
      <c r="B7" s="763" t="s">
        <v>645</v>
      </c>
      <c r="C7" s="764"/>
      <c r="D7" s="764"/>
      <c r="E7" s="764"/>
      <c r="F7" s="804">
        <f>ROUND(F6*R6,0)</f>
        <v>12000</v>
      </c>
      <c r="G7" s="802"/>
      <c r="H7" s="802"/>
      <c r="I7" s="802"/>
      <c r="J7" s="803"/>
      <c r="K7" s="756" t="s">
        <v>599</v>
      </c>
      <c r="L7" s="757"/>
      <c r="M7" s="757"/>
      <c r="N7" s="757"/>
      <c r="O7" s="757"/>
      <c r="P7" s="757"/>
      <c r="Q7" s="757"/>
      <c r="R7" s="754">
        <v>0</v>
      </c>
      <c r="S7" s="754"/>
      <c r="T7" s="754"/>
      <c r="U7" s="754"/>
      <c r="V7" s="755"/>
    </row>
    <row r="8" spans="1:24" ht="24" customHeight="1">
      <c r="A8" s="800"/>
      <c r="B8" s="763" t="s">
        <v>600</v>
      </c>
      <c r="C8" s="764"/>
      <c r="D8" s="764"/>
      <c r="E8" s="764"/>
      <c r="F8" s="804">
        <f>ROUND(R5+F7+R7,0)</f>
        <v>3541298</v>
      </c>
      <c r="G8" s="802"/>
      <c r="H8" s="802"/>
      <c r="I8" s="802"/>
      <c r="J8" s="803"/>
      <c r="K8" s="756" t="s">
        <v>601</v>
      </c>
      <c r="L8" s="757"/>
      <c r="M8" s="757"/>
      <c r="N8" s="757"/>
      <c r="O8" s="757"/>
      <c r="P8" s="757"/>
      <c r="Q8" s="757"/>
      <c r="R8" s="754">
        <v>1.2</v>
      </c>
      <c r="S8" s="754"/>
      <c r="T8" s="754"/>
      <c r="U8" s="754"/>
      <c r="V8" s="755"/>
    </row>
    <row r="9" spans="1:24" ht="24" customHeight="1">
      <c r="A9" s="801"/>
      <c r="B9" s="805" t="s">
        <v>602</v>
      </c>
      <c r="C9" s="806"/>
      <c r="D9" s="806"/>
      <c r="E9" s="806"/>
      <c r="F9" s="806"/>
      <c r="G9" s="806"/>
      <c r="H9" s="806"/>
      <c r="I9" s="806"/>
      <c r="J9" s="807"/>
      <c r="K9" s="842">
        <f>ROUND(F8*(1-R8/12),0)</f>
        <v>3187168</v>
      </c>
      <c r="L9" s="843"/>
      <c r="M9" s="843"/>
      <c r="N9" s="843"/>
      <c r="O9" s="843"/>
      <c r="P9" s="843"/>
      <c r="Q9" s="843"/>
      <c r="R9" s="843"/>
      <c r="S9" s="843"/>
      <c r="T9" s="843"/>
      <c r="U9" s="843"/>
      <c r="V9" s="843"/>
    </row>
    <row r="10" spans="1:24" ht="24" customHeight="1">
      <c r="A10" s="845" t="s">
        <v>603</v>
      </c>
      <c r="B10" s="835" t="s">
        <v>646</v>
      </c>
      <c r="C10" s="836"/>
      <c r="D10" s="836"/>
      <c r="E10" s="836"/>
      <c r="F10" s="832">
        <v>196387</v>
      </c>
      <c r="G10" s="833"/>
      <c r="H10" s="833"/>
      <c r="I10" s="833"/>
      <c r="J10" s="834"/>
      <c r="K10" s="848" t="s">
        <v>604</v>
      </c>
      <c r="L10" s="849"/>
      <c r="M10" s="849"/>
      <c r="N10" s="849"/>
      <c r="O10" s="849"/>
      <c r="P10" s="849"/>
      <c r="Q10" s="849"/>
      <c r="R10" s="832">
        <v>41623</v>
      </c>
      <c r="S10" s="832"/>
      <c r="T10" s="832"/>
      <c r="U10" s="832"/>
      <c r="V10" s="844"/>
    </row>
    <row r="11" spans="1:24" ht="24" customHeight="1">
      <c r="A11" s="846"/>
      <c r="B11" s="816" t="s">
        <v>605</v>
      </c>
      <c r="C11" s="817"/>
      <c r="D11" s="817"/>
      <c r="E11" s="817"/>
      <c r="F11" s="789">
        <v>135341</v>
      </c>
      <c r="G11" s="802"/>
      <c r="H11" s="802"/>
      <c r="I11" s="802"/>
      <c r="J11" s="803"/>
      <c r="K11" s="758" t="s">
        <v>606</v>
      </c>
      <c r="L11" s="759"/>
      <c r="M11" s="759"/>
      <c r="N11" s="759"/>
      <c r="O11" s="759"/>
      <c r="P11" s="759"/>
      <c r="Q11" s="759"/>
      <c r="R11" s="789">
        <f>ROUND(P3*0.15*1/20*(20*2)/50,0)</f>
        <v>124865</v>
      </c>
      <c r="S11" s="789"/>
      <c r="T11" s="789"/>
      <c r="U11" s="789"/>
      <c r="V11" s="790"/>
    </row>
    <row r="12" spans="1:24" ht="24" customHeight="1">
      <c r="A12" s="846"/>
      <c r="B12" s="816" t="s">
        <v>607</v>
      </c>
      <c r="C12" s="817"/>
      <c r="D12" s="817"/>
      <c r="E12" s="817"/>
      <c r="F12" s="789">
        <f>F8*0.01</f>
        <v>35412.980000000003</v>
      </c>
      <c r="G12" s="814"/>
      <c r="H12" s="814"/>
      <c r="I12" s="814"/>
      <c r="J12" s="815"/>
      <c r="K12" s="756" t="s">
        <v>608</v>
      </c>
      <c r="L12" s="757"/>
      <c r="M12" s="757"/>
      <c r="N12" s="757"/>
      <c r="O12" s="757"/>
      <c r="P12" s="757"/>
      <c r="Q12" s="757"/>
      <c r="R12" s="754">
        <v>0</v>
      </c>
      <c r="S12" s="754"/>
      <c r="T12" s="754"/>
      <c r="U12" s="754"/>
      <c r="V12" s="755"/>
    </row>
    <row r="13" spans="1:24" ht="24" customHeight="1">
      <c r="A13" s="846"/>
      <c r="B13" s="816" t="s">
        <v>609</v>
      </c>
      <c r="C13" s="817"/>
      <c r="D13" s="817"/>
      <c r="E13" s="817"/>
      <c r="F13" s="789">
        <f>T3*0.00055</f>
        <v>8355.530257800001</v>
      </c>
      <c r="G13" s="814"/>
      <c r="H13" s="814"/>
      <c r="I13" s="814"/>
      <c r="J13" s="815"/>
      <c r="K13" s="758" t="s">
        <v>610</v>
      </c>
      <c r="L13" s="759"/>
      <c r="M13" s="759"/>
      <c r="N13" s="759"/>
      <c r="O13" s="759"/>
      <c r="P13" s="759"/>
      <c r="Q13" s="759"/>
      <c r="R13" s="760">
        <f>ROUND(((1-'95表2收益附-成本法'!H19)/'95表2收益附-成本法'!H18)/(1-((1-'95表2收益附-成本法'!H19)/'95表2收益附-成本法'!H18*'95表2收益附-成本法'!D18)),4)</f>
        <v>2.47E-2</v>
      </c>
      <c r="S13" s="760"/>
      <c r="T13" s="760"/>
      <c r="U13" s="760"/>
      <c r="V13" s="761"/>
    </row>
    <row r="14" spans="1:24" ht="24" customHeight="1">
      <c r="A14" s="847"/>
      <c r="B14" s="837" t="s">
        <v>611</v>
      </c>
      <c r="C14" s="838"/>
      <c r="D14" s="838"/>
      <c r="E14" s="838"/>
      <c r="F14" s="838"/>
      <c r="G14" s="838"/>
      <c r="H14" s="838"/>
      <c r="I14" s="838"/>
      <c r="J14" s="839"/>
      <c r="K14" s="818">
        <f>ROUND(SUM(F10:F13)+SUM(R10:V12),0)</f>
        <v>541985</v>
      </c>
      <c r="L14" s="819"/>
      <c r="M14" s="819"/>
      <c r="N14" s="819"/>
      <c r="O14" s="819"/>
      <c r="P14" s="819"/>
      <c r="Q14" s="819"/>
      <c r="R14" s="819"/>
      <c r="S14" s="819"/>
      <c r="T14" s="819"/>
      <c r="U14" s="819"/>
      <c r="V14" s="819"/>
    </row>
    <row r="15" spans="1:24" ht="24" customHeight="1">
      <c r="A15" s="845" t="s">
        <v>612</v>
      </c>
      <c r="B15" s="830" t="s">
        <v>613</v>
      </c>
      <c r="C15" s="831"/>
      <c r="D15" s="831"/>
      <c r="E15" s="831"/>
      <c r="F15" s="840">
        <f>K9-K14</f>
        <v>2645183</v>
      </c>
      <c r="G15" s="833"/>
      <c r="H15" s="833"/>
      <c r="I15" s="833"/>
      <c r="J15" s="834"/>
      <c r="K15" s="867" t="s">
        <v>637</v>
      </c>
      <c r="L15" s="868"/>
      <c r="M15" s="868"/>
      <c r="N15" s="869"/>
      <c r="O15" s="822" t="s">
        <v>647</v>
      </c>
      <c r="P15" s="823"/>
      <c r="Q15" s="823"/>
      <c r="R15" s="823"/>
      <c r="S15" s="823"/>
      <c r="T15" s="823"/>
      <c r="U15" s="823"/>
      <c r="V15" s="824"/>
    </row>
    <row r="16" spans="1:24" ht="24" customHeight="1">
      <c r="A16" s="846"/>
      <c r="B16" s="828" t="s">
        <v>614</v>
      </c>
      <c r="C16" s="817"/>
      <c r="D16" s="817"/>
      <c r="E16" s="829"/>
      <c r="F16" s="787">
        <v>3.5000000000000003E-2</v>
      </c>
      <c r="G16" s="787"/>
      <c r="H16" s="787"/>
      <c r="I16" s="787"/>
      <c r="J16" s="841"/>
      <c r="K16" s="870"/>
      <c r="L16" s="871"/>
      <c r="M16" s="871"/>
      <c r="N16" s="872"/>
      <c r="O16" s="823"/>
      <c r="P16" s="823"/>
      <c r="Q16" s="823"/>
      <c r="R16" s="823"/>
      <c r="S16" s="823"/>
      <c r="T16" s="823"/>
      <c r="U16" s="823"/>
      <c r="V16" s="824"/>
    </row>
    <row r="17" spans="1:22" ht="24" customHeight="1">
      <c r="A17" s="846"/>
      <c r="B17" s="816" t="s">
        <v>615</v>
      </c>
      <c r="C17" s="817"/>
      <c r="D17" s="817"/>
      <c r="E17" s="817"/>
      <c r="F17" s="804">
        <f>ROUND(T3*(F16+R13),0)</f>
        <v>906955</v>
      </c>
      <c r="G17" s="802"/>
      <c r="H17" s="802"/>
      <c r="I17" s="802"/>
      <c r="J17" s="803"/>
      <c r="K17" s="870"/>
      <c r="L17" s="871"/>
      <c r="M17" s="871"/>
      <c r="N17" s="872"/>
      <c r="O17" s="825"/>
      <c r="P17" s="825"/>
      <c r="Q17" s="825"/>
      <c r="R17" s="826"/>
      <c r="S17" s="826"/>
      <c r="T17" s="826"/>
      <c r="U17" s="826"/>
      <c r="V17" s="827"/>
    </row>
    <row r="18" spans="1:22" ht="24" customHeight="1">
      <c r="A18" s="847"/>
      <c r="B18" s="858" t="s">
        <v>616</v>
      </c>
      <c r="C18" s="859"/>
      <c r="D18" s="859"/>
      <c r="E18" s="860"/>
      <c r="F18" s="913">
        <v>0</v>
      </c>
      <c r="G18" s="914"/>
      <c r="H18" s="914"/>
      <c r="I18" s="914"/>
      <c r="J18" s="915"/>
      <c r="K18" s="850" t="s">
        <v>32</v>
      </c>
      <c r="L18" s="851"/>
      <c r="M18" s="851"/>
      <c r="N18" s="851"/>
      <c r="O18" s="851"/>
      <c r="P18" s="851"/>
      <c r="Q18" s="851"/>
      <c r="R18" s="894">
        <f>F15-F17-F18</f>
        <v>1738228</v>
      </c>
      <c r="S18" s="895"/>
      <c r="T18" s="895"/>
      <c r="U18" s="895"/>
      <c r="V18" s="896"/>
    </row>
    <row r="19" spans="1:22" ht="24" customHeight="1">
      <c r="A19" s="845" t="s">
        <v>541</v>
      </c>
      <c r="B19" s="876" t="s">
        <v>617</v>
      </c>
      <c r="C19" s="836"/>
      <c r="D19" s="836"/>
      <c r="E19" s="768"/>
      <c r="F19" s="861">
        <v>2.5000000000000001E-2</v>
      </c>
      <c r="G19" s="861"/>
      <c r="H19" s="861"/>
      <c r="I19" s="861"/>
      <c r="J19" s="862">
        <v>2.5000000000000001E-2</v>
      </c>
      <c r="K19" s="877" t="s">
        <v>618</v>
      </c>
      <c r="L19" s="908"/>
      <c r="M19" s="908"/>
      <c r="N19" s="909"/>
      <c r="O19" s="902" t="s">
        <v>648</v>
      </c>
      <c r="P19" s="903"/>
      <c r="Q19" s="903"/>
      <c r="R19" s="903"/>
      <c r="S19" s="903"/>
      <c r="T19" s="903"/>
      <c r="U19" s="903"/>
      <c r="V19" s="904"/>
    </row>
    <row r="20" spans="1:22" ht="24" customHeight="1">
      <c r="A20" s="846"/>
      <c r="B20" s="763" t="s">
        <v>649</v>
      </c>
      <c r="C20" s="764"/>
      <c r="D20" s="764"/>
      <c r="E20" s="764"/>
      <c r="F20" s="804">
        <f>ROUND(R18/J19,0)</f>
        <v>69529120</v>
      </c>
      <c r="G20" s="802"/>
      <c r="H20" s="802"/>
      <c r="I20" s="802"/>
      <c r="J20" s="873"/>
      <c r="K20" s="910"/>
      <c r="L20" s="911"/>
      <c r="M20" s="911"/>
      <c r="N20" s="912"/>
      <c r="O20" s="905"/>
      <c r="P20" s="906"/>
      <c r="Q20" s="906"/>
      <c r="R20" s="906"/>
      <c r="S20" s="906"/>
      <c r="T20" s="906"/>
      <c r="U20" s="906"/>
      <c r="V20" s="907"/>
    </row>
    <row r="21" spans="1:22" ht="24" customHeight="1">
      <c r="A21" s="846"/>
      <c r="B21" s="763" t="s">
        <v>650</v>
      </c>
      <c r="C21" s="764"/>
      <c r="D21" s="764"/>
      <c r="E21" s="764"/>
      <c r="F21" s="811">
        <f>ROUND(F20/E3,0)</f>
        <v>1139822</v>
      </c>
      <c r="G21" s="802"/>
      <c r="H21" s="802"/>
      <c r="I21" s="802"/>
      <c r="J21" s="873"/>
      <c r="K21" s="910"/>
      <c r="L21" s="911"/>
      <c r="M21" s="911"/>
      <c r="N21" s="912"/>
      <c r="O21" s="905"/>
      <c r="P21" s="906"/>
      <c r="Q21" s="906"/>
      <c r="R21" s="906"/>
      <c r="S21" s="906"/>
      <c r="T21" s="906"/>
      <c r="U21" s="906"/>
      <c r="V21" s="907"/>
    </row>
    <row r="22" spans="1:22" ht="24" customHeight="1" thickBot="1">
      <c r="A22" s="846"/>
      <c r="B22" s="900" t="s">
        <v>651</v>
      </c>
      <c r="C22" s="901"/>
      <c r="D22" s="901"/>
      <c r="E22" s="901"/>
      <c r="F22" s="855">
        <f>ROUND(F21*90%/95%,0)</f>
        <v>1079831</v>
      </c>
      <c r="G22" s="856"/>
      <c r="H22" s="856"/>
      <c r="I22" s="856"/>
      <c r="J22" s="857"/>
      <c r="K22" s="910"/>
      <c r="L22" s="911"/>
      <c r="M22" s="911"/>
      <c r="N22" s="912"/>
      <c r="O22" s="905"/>
      <c r="P22" s="906"/>
      <c r="Q22" s="906"/>
      <c r="R22" s="906"/>
      <c r="S22" s="906"/>
      <c r="T22" s="906"/>
      <c r="U22" s="906"/>
      <c r="V22" s="907"/>
    </row>
    <row r="23" spans="1:22" ht="73.5" customHeight="1" thickTop="1">
      <c r="A23" s="863" t="s">
        <v>639</v>
      </c>
      <c r="B23" s="353" t="s">
        <v>619</v>
      </c>
      <c r="C23" s="353" t="s">
        <v>620</v>
      </c>
      <c r="D23" s="353" t="s">
        <v>652</v>
      </c>
      <c r="E23" s="353" t="s">
        <v>621</v>
      </c>
      <c r="F23" s="353" t="s">
        <v>622</v>
      </c>
      <c r="G23" s="353" t="s">
        <v>623</v>
      </c>
      <c r="H23" s="353" t="s">
        <v>624</v>
      </c>
      <c r="I23" s="354" t="s">
        <v>653</v>
      </c>
      <c r="J23" s="353" t="s">
        <v>625</v>
      </c>
      <c r="K23" s="854" t="s">
        <v>626</v>
      </c>
      <c r="L23" s="854"/>
      <c r="M23" s="854" t="s">
        <v>534</v>
      </c>
      <c r="N23" s="854"/>
      <c r="O23" s="854" t="s">
        <v>627</v>
      </c>
      <c r="P23" s="866"/>
      <c r="Q23" s="353" t="s">
        <v>628</v>
      </c>
      <c r="R23" s="917" t="s">
        <v>638</v>
      </c>
      <c r="S23" s="917"/>
      <c r="T23" s="353" t="s">
        <v>629</v>
      </c>
      <c r="U23" s="881" t="s">
        <v>654</v>
      </c>
      <c r="V23" s="882"/>
    </row>
    <row r="24" spans="1:22" ht="24" customHeight="1">
      <c r="A24" s="864"/>
      <c r="B24" s="355">
        <v>4</v>
      </c>
      <c r="C24" s="355" t="s">
        <v>586</v>
      </c>
      <c r="D24" s="356">
        <v>524</v>
      </c>
      <c r="E24" s="357">
        <v>330000</v>
      </c>
      <c r="F24" s="358">
        <f>ROUND(E24/D24,0)</f>
        <v>630</v>
      </c>
      <c r="G24" s="355" t="s">
        <v>630</v>
      </c>
      <c r="H24" s="359">
        <v>0</v>
      </c>
      <c r="I24" s="360">
        <v>1040101</v>
      </c>
      <c r="J24" s="359">
        <v>2.5000000000000001E-2</v>
      </c>
      <c r="K24" s="852">
        <v>0</v>
      </c>
      <c r="L24" s="852"/>
      <c r="M24" s="852">
        <v>-0.02</v>
      </c>
      <c r="N24" s="852"/>
      <c r="O24" s="874">
        <f>ABS(H24)+ABS(J24)+ABS(K24)+ABS(M24)</f>
        <v>4.4999999999999998E-2</v>
      </c>
      <c r="P24" s="875"/>
      <c r="Q24" s="361">
        <v>2</v>
      </c>
      <c r="R24" s="916">
        <f>ROUND(F24*(1+H24)*(1+J24)*(1+K24)*(1+M24),0)</f>
        <v>633</v>
      </c>
      <c r="S24" s="916"/>
      <c r="T24" s="362">
        <v>0.5</v>
      </c>
      <c r="U24" s="890">
        <f>ROUND(R24*T24+R25*T25+R26*T26,0)</f>
        <v>643</v>
      </c>
      <c r="V24" s="891"/>
    </row>
    <row r="25" spans="1:22" ht="24" customHeight="1">
      <c r="A25" s="864"/>
      <c r="B25" s="355">
        <v>7</v>
      </c>
      <c r="C25" s="355" t="s">
        <v>631</v>
      </c>
      <c r="D25" s="356">
        <v>613</v>
      </c>
      <c r="E25" s="357">
        <v>400000</v>
      </c>
      <c r="F25" s="358">
        <f>ROUND(E25/D25,0)</f>
        <v>653</v>
      </c>
      <c r="G25" s="355" t="s">
        <v>632</v>
      </c>
      <c r="H25" s="359">
        <v>-0.05</v>
      </c>
      <c r="I25" s="360">
        <v>1031224</v>
      </c>
      <c r="J25" s="359">
        <v>0.03</v>
      </c>
      <c r="K25" s="852">
        <v>0</v>
      </c>
      <c r="L25" s="852"/>
      <c r="M25" s="852">
        <v>0</v>
      </c>
      <c r="N25" s="852"/>
      <c r="O25" s="874">
        <f>ABS(H25)+ABS(J25)+ABS(K25)+ABS(M25)</f>
        <v>0.08</v>
      </c>
      <c r="P25" s="875"/>
      <c r="Q25" s="361">
        <v>2</v>
      </c>
      <c r="R25" s="916">
        <f>ROUND(F25*(1+H25)*(1+J25)*(1+K25)*(1+M25),0)</f>
        <v>639</v>
      </c>
      <c r="S25" s="916"/>
      <c r="T25" s="362">
        <v>0.3</v>
      </c>
      <c r="U25" s="890"/>
      <c r="V25" s="891"/>
    </row>
    <row r="26" spans="1:22" ht="24" customHeight="1">
      <c r="A26" s="865"/>
      <c r="B26" s="355">
        <v>8</v>
      </c>
      <c r="C26" s="355" t="s">
        <v>633</v>
      </c>
      <c r="D26" s="363">
        <v>100</v>
      </c>
      <c r="E26" s="364">
        <v>61500</v>
      </c>
      <c r="F26" s="365">
        <f>ROUND(E26/D26,0)</f>
        <v>615</v>
      </c>
      <c r="G26" s="366" t="s">
        <v>634</v>
      </c>
      <c r="H26" s="367">
        <v>0.02</v>
      </c>
      <c r="I26" s="368">
        <v>1030825</v>
      </c>
      <c r="J26" s="367">
        <v>0.05</v>
      </c>
      <c r="K26" s="853">
        <v>0</v>
      </c>
      <c r="L26" s="853"/>
      <c r="M26" s="853">
        <v>0.02</v>
      </c>
      <c r="N26" s="853"/>
      <c r="O26" s="874">
        <f>ABS(H26)+ABS(J26)+ABS(K26)+ABS(M26)</f>
        <v>9.0000000000000011E-2</v>
      </c>
      <c r="P26" s="875"/>
      <c r="Q26" s="369">
        <v>3</v>
      </c>
      <c r="R26" s="916">
        <f>ROUND(F26*(1+H26)*(1+J26)*(1+K26)*(1+M26),0)</f>
        <v>672</v>
      </c>
      <c r="S26" s="916"/>
      <c r="T26" s="370">
        <v>0.2</v>
      </c>
      <c r="U26" s="892"/>
      <c r="V26" s="893"/>
    </row>
    <row r="27" spans="1:22" ht="24" customHeight="1">
      <c r="A27" s="877" t="s">
        <v>655</v>
      </c>
      <c r="B27" s="924"/>
      <c r="C27" s="883" t="s">
        <v>656</v>
      </c>
      <c r="D27" s="884"/>
      <c r="E27" s="884"/>
      <c r="F27" s="884"/>
      <c r="G27" s="884"/>
      <c r="H27" s="884"/>
      <c r="I27" s="884"/>
      <c r="J27" s="884"/>
      <c r="K27" s="884"/>
      <c r="L27" s="884"/>
      <c r="M27" s="884"/>
      <c r="N27" s="884"/>
      <c r="O27" s="884"/>
      <c r="P27" s="884"/>
      <c r="Q27" s="884"/>
      <c r="R27" s="884"/>
      <c r="S27" s="884"/>
      <c r="T27" s="884"/>
      <c r="U27" s="884"/>
      <c r="V27" s="885"/>
    </row>
    <row r="28" spans="1:22" ht="24" customHeight="1">
      <c r="A28" s="925"/>
      <c r="B28" s="926"/>
      <c r="C28" s="886"/>
      <c r="D28" s="886"/>
      <c r="E28" s="886"/>
      <c r="F28" s="886"/>
      <c r="G28" s="886"/>
      <c r="H28" s="886"/>
      <c r="I28" s="886"/>
      <c r="J28" s="886"/>
      <c r="K28" s="886"/>
      <c r="L28" s="886"/>
      <c r="M28" s="886"/>
      <c r="N28" s="886"/>
      <c r="O28" s="886"/>
      <c r="P28" s="886"/>
      <c r="Q28" s="886"/>
      <c r="R28" s="886"/>
      <c r="S28" s="886"/>
      <c r="T28" s="886"/>
      <c r="U28" s="886"/>
      <c r="V28" s="887"/>
    </row>
    <row r="29" spans="1:22" ht="24" customHeight="1" thickBot="1">
      <c r="A29" s="927"/>
      <c r="B29" s="928"/>
      <c r="C29" s="888"/>
      <c r="D29" s="888"/>
      <c r="E29" s="888"/>
      <c r="F29" s="888"/>
      <c r="G29" s="888"/>
      <c r="H29" s="888"/>
      <c r="I29" s="888"/>
      <c r="J29" s="888"/>
      <c r="K29" s="888"/>
      <c r="L29" s="888"/>
      <c r="M29" s="888"/>
      <c r="N29" s="888"/>
      <c r="O29" s="888"/>
      <c r="P29" s="888"/>
      <c r="Q29" s="888"/>
      <c r="R29" s="888"/>
      <c r="S29" s="888"/>
      <c r="T29" s="888"/>
      <c r="U29" s="888"/>
      <c r="V29" s="889"/>
    </row>
    <row r="30" spans="1:22" ht="24" customHeight="1" thickTop="1">
      <c r="A30" s="877" t="s">
        <v>635</v>
      </c>
      <c r="B30" s="878"/>
      <c r="C30" s="918"/>
      <c r="D30" s="919"/>
      <c r="E30" s="919"/>
      <c r="F30" s="919"/>
      <c r="G30" s="919"/>
      <c r="H30" s="919"/>
      <c r="I30" s="919"/>
      <c r="J30" s="919"/>
      <c r="K30" s="919"/>
      <c r="L30" s="919"/>
      <c r="M30" s="919"/>
      <c r="N30" s="919"/>
      <c r="O30" s="919"/>
      <c r="P30" s="919"/>
      <c r="Q30" s="919"/>
      <c r="R30" s="919"/>
      <c r="S30" s="919"/>
      <c r="T30" s="919"/>
      <c r="U30" s="919"/>
      <c r="V30" s="920"/>
    </row>
    <row r="31" spans="1:22" ht="24" customHeight="1">
      <c r="A31" s="879"/>
      <c r="B31" s="880"/>
      <c r="C31" s="921"/>
      <c r="D31" s="922"/>
      <c r="E31" s="922"/>
      <c r="F31" s="922"/>
      <c r="G31" s="922"/>
      <c r="H31" s="922"/>
      <c r="I31" s="922"/>
      <c r="J31" s="922"/>
      <c r="K31" s="922"/>
      <c r="L31" s="922"/>
      <c r="M31" s="922"/>
      <c r="N31" s="922"/>
      <c r="O31" s="922"/>
      <c r="P31" s="922"/>
      <c r="Q31" s="922"/>
      <c r="R31" s="922"/>
      <c r="S31" s="922"/>
      <c r="T31" s="922"/>
      <c r="U31" s="922"/>
      <c r="V31" s="923"/>
    </row>
    <row r="32" spans="1:22" ht="32.25" customHeight="1">
      <c r="A32" s="897" t="s">
        <v>661</v>
      </c>
      <c r="B32" s="898"/>
      <c r="C32" s="898"/>
      <c r="D32" s="898"/>
      <c r="E32" s="898"/>
      <c r="F32" s="898"/>
      <c r="G32" s="898"/>
      <c r="H32" s="898"/>
      <c r="I32" s="898"/>
      <c r="J32" s="898"/>
      <c r="K32" s="898"/>
      <c r="L32" s="898"/>
      <c r="M32" s="898"/>
      <c r="N32" s="898"/>
      <c r="O32" s="899"/>
      <c r="P32" s="899"/>
      <c r="Q32" s="899"/>
      <c r="R32" s="899"/>
      <c r="S32" s="899"/>
      <c r="T32" s="52"/>
      <c r="U32" s="53"/>
    </row>
    <row r="33" spans="1:22" ht="33.75" customHeight="1">
      <c r="A33" s="372"/>
      <c r="B33" s="372"/>
      <c r="C33" s="372"/>
      <c r="D33" s="372"/>
      <c r="E33" s="372"/>
      <c r="F33" s="372"/>
      <c r="G33" s="372"/>
      <c r="H33" s="372"/>
      <c r="I33" s="372"/>
      <c r="J33" s="372"/>
      <c r="K33" s="372"/>
      <c r="L33" s="372"/>
      <c r="M33" s="372"/>
      <c r="N33" s="373" t="s">
        <v>660</v>
      </c>
      <c r="O33" s="372"/>
      <c r="P33" s="372"/>
      <c r="Q33" s="372"/>
      <c r="R33" s="372"/>
      <c r="S33" s="374"/>
      <c r="T33" s="50"/>
      <c r="U33" s="51"/>
      <c r="V33" s="110"/>
    </row>
    <row r="34" spans="1:22" ht="14.25">
      <c r="S34" s="73"/>
      <c r="T34" s="50"/>
      <c r="U34" s="111"/>
      <c r="V34" s="50"/>
    </row>
  </sheetData>
  <mergeCells count="108">
    <mergeCell ref="B19:E19"/>
    <mergeCell ref="A30:B31"/>
    <mergeCell ref="U23:V23"/>
    <mergeCell ref="K26:L26"/>
    <mergeCell ref="C27:V29"/>
    <mergeCell ref="U24:V26"/>
    <mergeCell ref="R18:V18"/>
    <mergeCell ref="A32:S32"/>
    <mergeCell ref="B20:E20"/>
    <mergeCell ref="B22:E22"/>
    <mergeCell ref="O19:V22"/>
    <mergeCell ref="K19:N22"/>
    <mergeCell ref="F20:J20"/>
    <mergeCell ref="F18:J18"/>
    <mergeCell ref="R25:S25"/>
    <mergeCell ref="M25:N25"/>
    <mergeCell ref="R23:S23"/>
    <mergeCell ref="C30:V31"/>
    <mergeCell ref="R26:S26"/>
    <mergeCell ref="R24:S24"/>
    <mergeCell ref="O26:P26"/>
    <mergeCell ref="O25:P25"/>
    <mergeCell ref="A27:B29"/>
    <mergeCell ref="A10:A14"/>
    <mergeCell ref="K10:Q10"/>
    <mergeCell ref="K18:Q18"/>
    <mergeCell ref="M24:N24"/>
    <mergeCell ref="B17:E17"/>
    <mergeCell ref="M26:N26"/>
    <mergeCell ref="M23:N23"/>
    <mergeCell ref="F22:J22"/>
    <mergeCell ref="B18:E18"/>
    <mergeCell ref="K23:L23"/>
    <mergeCell ref="K24:L24"/>
    <mergeCell ref="F19:J19"/>
    <mergeCell ref="A19:A22"/>
    <mergeCell ref="A23:A26"/>
    <mergeCell ref="O23:P23"/>
    <mergeCell ref="K15:N17"/>
    <mergeCell ref="B21:E21"/>
    <mergeCell ref="F17:J17"/>
    <mergeCell ref="A15:A18"/>
    <mergeCell ref="K25:L25"/>
    <mergeCell ref="F21:J21"/>
    <mergeCell ref="O24:P24"/>
    <mergeCell ref="K13:Q13"/>
    <mergeCell ref="B11:E11"/>
    <mergeCell ref="F11:J11"/>
    <mergeCell ref="F12:J12"/>
    <mergeCell ref="F13:J13"/>
    <mergeCell ref="B12:E12"/>
    <mergeCell ref="K14:V14"/>
    <mergeCell ref="F4:J4"/>
    <mergeCell ref="O15:V17"/>
    <mergeCell ref="B16:E16"/>
    <mergeCell ref="B15:E15"/>
    <mergeCell ref="B13:E13"/>
    <mergeCell ref="F10:J10"/>
    <mergeCell ref="B10:E10"/>
    <mergeCell ref="B14:J14"/>
    <mergeCell ref="F15:J15"/>
    <mergeCell ref="F16:J16"/>
    <mergeCell ref="B8:E8"/>
    <mergeCell ref="R11:V11"/>
    <mergeCell ref="K6:Q6"/>
    <mergeCell ref="K9:V9"/>
    <mergeCell ref="R8:V8"/>
    <mergeCell ref="K8:Q8"/>
    <mergeCell ref="F8:J8"/>
    <mergeCell ref="R10:V10"/>
    <mergeCell ref="B6:E6"/>
    <mergeCell ref="K7:Q7"/>
    <mergeCell ref="A2:B2"/>
    <mergeCell ref="A3:A9"/>
    <mergeCell ref="F6:J6"/>
    <mergeCell ref="F7:J7"/>
    <mergeCell ref="B7:E7"/>
    <mergeCell ref="B9:J9"/>
    <mergeCell ref="B5:E5"/>
    <mergeCell ref="C2:G2"/>
    <mergeCell ref="H2:I2"/>
    <mergeCell ref="F5:J5"/>
    <mergeCell ref="K5:Q5"/>
    <mergeCell ref="K3:O3"/>
    <mergeCell ref="R12:V12"/>
    <mergeCell ref="K12:Q12"/>
    <mergeCell ref="K11:Q11"/>
    <mergeCell ref="R13:V13"/>
    <mergeCell ref="R7:V7"/>
    <mergeCell ref="U1:V1"/>
    <mergeCell ref="B4:E4"/>
    <mergeCell ref="R4:V4"/>
    <mergeCell ref="P3:Q3"/>
    <mergeCell ref="R1:T1"/>
    <mergeCell ref="P1:Q1"/>
    <mergeCell ref="J1:K1"/>
    <mergeCell ref="L1:O1"/>
    <mergeCell ref="A1:G1"/>
    <mergeCell ref="H1:I1"/>
    <mergeCell ref="H3:I3"/>
    <mergeCell ref="T2:V2"/>
    <mergeCell ref="T3:V3"/>
    <mergeCell ref="R6:V6"/>
    <mergeCell ref="R5:V5"/>
    <mergeCell ref="R3:S3"/>
    <mergeCell ref="K4:Q4"/>
    <mergeCell ref="R2:S2"/>
    <mergeCell ref="J2:Q2"/>
  </mergeCells>
  <phoneticPr fontId="3" type="noConversion"/>
  <printOptions horizontalCentered="1" verticalCentered="1"/>
  <pageMargins left="0.23622047244094491" right="0.23622047244094491" top="0.35" bottom="0.39" header="0.31496062992125984" footer="0.31496062992125984"/>
  <pageSetup paperSize="9" scale="64" orientation="landscape"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F34F3-D833-4097-9AC4-F67F2B0739DD}">
  <sheetPr>
    <tabColor indexed="10"/>
    <pageSetUpPr fitToPage="1"/>
  </sheetPr>
  <dimension ref="A1:Q24"/>
  <sheetViews>
    <sheetView topLeftCell="A7" zoomScale="85" workbookViewId="0">
      <selection activeCell="O2" sqref="O2:Q2"/>
    </sheetView>
  </sheetViews>
  <sheetFormatPr defaultRowHeight="15.75"/>
  <cols>
    <col min="1" max="1" width="6.625" style="32" customWidth="1"/>
    <col min="2" max="2" width="3.875" style="32" customWidth="1"/>
    <col min="3" max="3" width="6.125" style="32" customWidth="1"/>
    <col min="4" max="4" width="7.625" style="32" customWidth="1"/>
    <col min="5" max="5" width="8.125" style="32" customWidth="1"/>
    <col min="6" max="6" width="6.375" style="32" customWidth="1"/>
    <col min="7" max="7" width="8.125" style="32" customWidth="1"/>
    <col min="8" max="8" width="12.625" style="32" customWidth="1"/>
    <col min="9" max="9" width="7.875" style="32" customWidth="1"/>
    <col min="10" max="10" width="19.625" style="32" customWidth="1"/>
    <col min="11" max="11" width="20.625" style="32" customWidth="1"/>
    <col min="12" max="12" width="7.125" style="32" customWidth="1"/>
    <col min="13" max="13" width="11.75" style="32" customWidth="1"/>
    <col min="14" max="14" width="15.375" style="32" customWidth="1"/>
    <col min="15" max="16384" width="9" style="32"/>
  </cols>
  <sheetData>
    <row r="1" spans="1:17" ht="21">
      <c r="A1" s="929" t="s">
        <v>715</v>
      </c>
      <c r="B1" s="930"/>
      <c r="C1" s="930"/>
      <c r="D1" s="930"/>
      <c r="E1" s="930"/>
      <c r="F1" s="930"/>
      <c r="G1" s="930"/>
      <c r="H1" s="930"/>
      <c r="I1" s="930"/>
      <c r="J1" s="339"/>
      <c r="K1" s="769" t="s">
        <v>573</v>
      </c>
      <c r="L1" s="770"/>
      <c r="M1" s="771"/>
      <c r="N1" s="446" t="s">
        <v>728</v>
      </c>
      <c r="O1" s="437"/>
      <c r="P1" s="443"/>
      <c r="Q1" s="443"/>
    </row>
    <row r="2" spans="1:17" ht="20.100000000000001" customHeight="1">
      <c r="A2" s="622" t="s">
        <v>185</v>
      </c>
      <c r="B2" s="623"/>
      <c r="C2" s="623"/>
      <c r="D2" s="623"/>
      <c r="E2" s="623"/>
      <c r="F2" s="623"/>
      <c r="G2" s="623"/>
      <c r="H2" s="623"/>
      <c r="I2" s="624"/>
      <c r="J2" s="640" t="s">
        <v>186</v>
      </c>
      <c r="K2" s="641"/>
      <c r="L2" s="641"/>
      <c r="M2" s="641"/>
      <c r="N2" s="642"/>
      <c r="O2" s="443"/>
      <c r="P2" s="443"/>
      <c r="Q2" s="443"/>
    </row>
    <row r="3" spans="1:17" ht="20.100000000000001" customHeight="1">
      <c r="A3" s="625" t="s">
        <v>187</v>
      </c>
      <c r="B3" s="626"/>
      <c r="C3" s="626"/>
      <c r="D3" s="724" t="s">
        <v>188</v>
      </c>
      <c r="E3" s="724"/>
      <c r="F3" s="724"/>
      <c r="G3" s="724"/>
      <c r="H3" s="724"/>
      <c r="I3" s="743"/>
      <c r="J3" s="609" t="s">
        <v>189</v>
      </c>
      <c r="K3" s="610"/>
      <c r="L3" s="610"/>
      <c r="M3" s="710">
        <v>33275</v>
      </c>
      <c r="N3" s="711"/>
    </row>
    <row r="4" spans="1:17" ht="20.100000000000001" customHeight="1">
      <c r="A4" s="575" t="s">
        <v>121</v>
      </c>
      <c r="B4" s="576"/>
      <c r="C4" s="576"/>
      <c r="D4" s="619" t="s">
        <v>122</v>
      </c>
      <c r="E4" s="619"/>
      <c r="F4" s="619"/>
      <c r="G4" s="619"/>
      <c r="H4" s="619"/>
      <c r="I4" s="742"/>
      <c r="J4" s="592" t="s">
        <v>190</v>
      </c>
      <c r="K4" s="604"/>
      <c r="L4" s="87">
        <v>1.03</v>
      </c>
      <c r="M4" s="383" t="s">
        <v>597</v>
      </c>
      <c r="N4" s="88" t="s">
        <v>1</v>
      </c>
    </row>
    <row r="5" spans="1:17" ht="20.100000000000001" customHeight="1">
      <c r="A5" s="575" t="s">
        <v>22</v>
      </c>
      <c r="B5" s="576"/>
      <c r="C5" s="576"/>
      <c r="D5" s="33">
        <v>123</v>
      </c>
      <c r="E5" s="629" t="s">
        <v>23</v>
      </c>
      <c r="F5" s="576"/>
      <c r="G5" s="576"/>
      <c r="H5" s="619" t="s">
        <v>419</v>
      </c>
      <c r="I5" s="742"/>
      <c r="J5" s="511" t="s">
        <v>191</v>
      </c>
      <c r="K5" s="512"/>
      <c r="L5" s="512"/>
      <c r="M5" s="704">
        <f>ROUND(M3*L4,0)</f>
        <v>34273</v>
      </c>
      <c r="N5" s="705"/>
    </row>
    <row r="6" spans="1:17" ht="20.100000000000001" customHeight="1">
      <c r="A6" s="575" t="s">
        <v>192</v>
      </c>
      <c r="B6" s="576"/>
      <c r="C6" s="34" t="s">
        <v>193</v>
      </c>
      <c r="D6" s="33">
        <v>8</v>
      </c>
      <c r="E6" s="593" t="s">
        <v>194</v>
      </c>
      <c r="F6" s="594"/>
      <c r="G6" s="594"/>
      <c r="H6" s="85">
        <v>457.4</v>
      </c>
      <c r="I6" s="396" t="s">
        <v>195</v>
      </c>
      <c r="J6" s="35" t="s">
        <v>196</v>
      </c>
      <c r="K6" s="89" t="s">
        <v>197</v>
      </c>
      <c r="L6" s="41">
        <v>2.5000000000000001E-2</v>
      </c>
      <c r="M6" s="935">
        <f>ROUND(M5*L6,0)</f>
        <v>857</v>
      </c>
      <c r="N6" s="936"/>
    </row>
    <row r="7" spans="1:17" ht="20.100000000000001" customHeight="1">
      <c r="A7" s="577"/>
      <c r="B7" s="576"/>
      <c r="C7" s="34" t="s">
        <v>198</v>
      </c>
      <c r="D7" s="33">
        <v>2</v>
      </c>
      <c r="E7" s="632" t="s">
        <v>199</v>
      </c>
      <c r="F7" s="633"/>
      <c r="G7" s="633"/>
      <c r="H7" s="40">
        <v>418</v>
      </c>
      <c r="I7" s="396" t="s">
        <v>200</v>
      </c>
      <c r="J7" s="931" t="s">
        <v>201</v>
      </c>
      <c r="K7" s="932"/>
      <c r="L7" s="932"/>
      <c r="M7" s="933">
        <f>M5+M6</f>
        <v>35130</v>
      </c>
      <c r="N7" s="934"/>
    </row>
    <row r="8" spans="1:17" ht="20.100000000000001" customHeight="1">
      <c r="A8" s="595" t="s">
        <v>202</v>
      </c>
      <c r="B8" s="596"/>
      <c r="C8" s="398" t="s">
        <v>203</v>
      </c>
      <c r="D8" s="86">
        <v>8</v>
      </c>
      <c r="E8" s="598" t="s">
        <v>204</v>
      </c>
      <c r="F8" s="596"/>
      <c r="G8" s="596"/>
      <c r="H8" s="209">
        <v>2.8</v>
      </c>
      <c r="I8" s="397" t="s">
        <v>205</v>
      </c>
      <c r="J8" s="35" t="s">
        <v>206</v>
      </c>
      <c r="K8" s="89" t="s">
        <v>207</v>
      </c>
      <c r="L8" s="41">
        <v>4.4999999999999998E-2</v>
      </c>
      <c r="M8" s="933">
        <f>ROUND(M7*L8*J13*J15/(1-J11*J13*J15),0)</f>
        <v>2047</v>
      </c>
      <c r="N8" s="934"/>
    </row>
    <row r="9" spans="1:17" ht="20.100000000000001" customHeight="1">
      <c r="A9" s="580" t="s">
        <v>208</v>
      </c>
      <c r="B9" s="597" t="s">
        <v>24</v>
      </c>
      <c r="C9" s="572"/>
      <c r="D9" s="392" t="s">
        <v>25</v>
      </c>
      <c r="E9" s="562" t="s">
        <v>26</v>
      </c>
      <c r="F9" s="572"/>
      <c r="G9" s="562" t="s">
        <v>27</v>
      </c>
      <c r="H9" s="578"/>
      <c r="I9" s="579"/>
      <c r="J9" s="35" t="s">
        <v>209</v>
      </c>
      <c r="K9" s="89" t="s">
        <v>210</v>
      </c>
      <c r="L9" s="41">
        <v>4.4999999999999998E-2</v>
      </c>
      <c r="M9" s="933">
        <f>ROUND(M7*L9*J13*J15/(1-J11*J13*J15),0)</f>
        <v>2047</v>
      </c>
      <c r="N9" s="934"/>
    </row>
    <row r="10" spans="1:17" ht="20.100000000000001" customHeight="1">
      <c r="A10" s="581"/>
      <c r="B10" s="529" t="s">
        <v>28</v>
      </c>
      <c r="C10" s="530"/>
      <c r="D10" s="36">
        <v>1.3599999999999999E-2</v>
      </c>
      <c r="E10" s="736">
        <v>0.4</v>
      </c>
      <c r="F10" s="605"/>
      <c r="G10" s="737">
        <f>ROUND(D10*E10,4)</f>
        <v>5.4000000000000003E-3</v>
      </c>
      <c r="H10" s="737"/>
      <c r="I10" s="738">
        <f>ROUND(G10+G11+G12,4)</f>
        <v>1.7000000000000001E-2</v>
      </c>
      <c r="J10" s="90" t="s">
        <v>211</v>
      </c>
      <c r="K10" s="89" t="s">
        <v>210</v>
      </c>
      <c r="L10" s="41">
        <v>0.01</v>
      </c>
      <c r="M10" s="937">
        <f>ROUND(M7*L10*J13*J15/(1-J11*J13*J15),0)</f>
        <v>455</v>
      </c>
      <c r="N10" s="938"/>
    </row>
    <row r="11" spans="1:17" ht="20.100000000000001" customHeight="1">
      <c r="A11" s="581"/>
      <c r="B11" s="529" t="s">
        <v>29</v>
      </c>
      <c r="C11" s="530"/>
      <c r="D11" s="36">
        <v>2.8899999999999999E-2</v>
      </c>
      <c r="E11" s="736">
        <v>0.4</v>
      </c>
      <c r="F11" s="736"/>
      <c r="G11" s="737">
        <f>ROUND(D11*E11,4)</f>
        <v>1.1599999999999999E-2</v>
      </c>
      <c r="H11" s="737"/>
      <c r="I11" s="738"/>
      <c r="J11" s="108">
        <f>SUM(L8:L10)</f>
        <v>9.9999999999999992E-2</v>
      </c>
      <c r="K11" s="939" t="s">
        <v>212</v>
      </c>
      <c r="L11" s="940"/>
      <c r="M11" s="933">
        <f>M7+M8+M9+M10</f>
        <v>39679</v>
      </c>
      <c r="N11" s="934"/>
    </row>
    <row r="12" spans="1:17" ht="20.100000000000001" customHeight="1">
      <c r="A12" s="581"/>
      <c r="B12" s="529" t="s">
        <v>30</v>
      </c>
      <c r="C12" s="530"/>
      <c r="D12" s="37">
        <v>0</v>
      </c>
      <c r="E12" s="736">
        <v>0.2</v>
      </c>
      <c r="F12" s="736"/>
      <c r="G12" s="737">
        <f>ROUND(D12*E12,4)</f>
        <v>0</v>
      </c>
      <c r="H12" s="737"/>
      <c r="I12" s="738"/>
      <c r="J12" s="35" t="s">
        <v>213</v>
      </c>
      <c r="K12" s="89" t="s">
        <v>214</v>
      </c>
      <c r="L12" s="43">
        <f>G15</f>
        <v>2.3800000000000002E-2</v>
      </c>
      <c r="M12" s="952">
        <f>ROUND(M11*L12,0)</f>
        <v>944</v>
      </c>
      <c r="N12" s="953"/>
    </row>
    <row r="13" spans="1:17" ht="20.100000000000001" customHeight="1">
      <c r="A13" s="581"/>
      <c r="B13" s="592" t="s">
        <v>215</v>
      </c>
      <c r="C13" s="512"/>
      <c r="D13" s="512"/>
      <c r="E13" s="512"/>
      <c r="F13" s="512"/>
      <c r="G13" s="736">
        <v>0.5</v>
      </c>
      <c r="H13" s="948"/>
      <c r="I13" s="949"/>
      <c r="J13" s="958">
        <f>1+G15</f>
        <v>1.0238</v>
      </c>
      <c r="K13" s="605"/>
      <c r="L13" s="605"/>
      <c r="M13" s="954">
        <f>M11+M12</f>
        <v>40623</v>
      </c>
      <c r="N13" s="955"/>
    </row>
    <row r="14" spans="1:17" ht="20.100000000000001" customHeight="1">
      <c r="A14" s="581"/>
      <c r="B14" s="592" t="s">
        <v>37</v>
      </c>
      <c r="C14" s="512"/>
      <c r="D14" s="512"/>
      <c r="E14" s="512"/>
      <c r="F14" s="512"/>
      <c r="G14" s="943">
        <f>H8</f>
        <v>2.8</v>
      </c>
      <c r="H14" s="944"/>
      <c r="I14" s="945"/>
      <c r="J14" s="35" t="s">
        <v>216</v>
      </c>
      <c r="K14" s="91" t="s">
        <v>214</v>
      </c>
      <c r="L14" s="44">
        <v>0.12</v>
      </c>
      <c r="M14" s="682">
        <f>ROUND(M13*L14,0)</f>
        <v>4875</v>
      </c>
      <c r="N14" s="683"/>
    </row>
    <row r="15" spans="1:17" ht="20.100000000000001" customHeight="1">
      <c r="A15" s="581"/>
      <c r="B15" s="531" t="s">
        <v>33</v>
      </c>
      <c r="C15" s="532"/>
      <c r="D15" s="532"/>
      <c r="E15" s="532"/>
      <c r="F15" s="532"/>
      <c r="G15" s="941">
        <f>ROUND(I10*G13*G14,4)</f>
        <v>2.3800000000000002E-2</v>
      </c>
      <c r="H15" s="941"/>
      <c r="I15" s="942"/>
      <c r="J15" s="947">
        <f>1+L14</f>
        <v>1.1200000000000001</v>
      </c>
      <c r="K15" s="601"/>
      <c r="L15" s="601"/>
      <c r="M15" s="956"/>
      <c r="N15" s="957"/>
    </row>
    <row r="16" spans="1:17" ht="20.100000000000001" customHeight="1">
      <c r="A16" s="566" t="s">
        <v>217</v>
      </c>
      <c r="B16" s="567"/>
      <c r="C16" s="567"/>
      <c r="D16" s="567"/>
      <c r="E16" s="567"/>
      <c r="F16" s="567"/>
      <c r="G16" s="567"/>
      <c r="H16" s="567"/>
      <c r="I16" s="567"/>
      <c r="J16" s="950" t="s">
        <v>218</v>
      </c>
      <c r="K16" s="951"/>
      <c r="L16" s="951"/>
      <c r="M16" s="959">
        <f>M11+M12+M14</f>
        <v>45498</v>
      </c>
      <c r="N16" s="960"/>
    </row>
    <row r="17" spans="1:14" ht="20.100000000000001" customHeight="1">
      <c r="A17" s="564" t="s">
        <v>219</v>
      </c>
      <c r="B17" s="565"/>
      <c r="C17" s="565"/>
      <c r="D17" s="562" t="s">
        <v>220</v>
      </c>
      <c r="E17" s="572"/>
      <c r="F17" s="562" t="s">
        <v>221</v>
      </c>
      <c r="G17" s="572"/>
      <c r="H17" s="562" t="s">
        <v>222</v>
      </c>
      <c r="I17" s="563"/>
      <c r="J17" s="946"/>
      <c r="K17" s="578"/>
      <c r="L17" s="578"/>
      <c r="M17" s="961"/>
      <c r="N17" s="962"/>
    </row>
    <row r="18" spans="1:14" ht="20.100000000000001" customHeight="1">
      <c r="A18" s="45">
        <v>85</v>
      </c>
      <c r="B18" s="38" t="s">
        <v>223</v>
      </c>
      <c r="C18" s="46">
        <v>10</v>
      </c>
      <c r="D18" s="741">
        <v>15</v>
      </c>
      <c r="E18" s="741"/>
      <c r="F18" s="735">
        <f>H18-D18</f>
        <v>35</v>
      </c>
      <c r="G18" s="735"/>
      <c r="H18" s="965">
        <v>50</v>
      </c>
      <c r="I18" s="966"/>
      <c r="J18" s="592" t="s">
        <v>224</v>
      </c>
      <c r="K18" s="512"/>
      <c r="L18" s="512"/>
      <c r="M18" s="684">
        <f>M16-H20</f>
        <v>33213.54</v>
      </c>
      <c r="N18" s="685"/>
    </row>
    <row r="19" spans="1:14" ht="20.100000000000001" customHeight="1">
      <c r="A19" s="529" t="s">
        <v>31</v>
      </c>
      <c r="B19" s="530"/>
      <c r="C19" s="530"/>
      <c r="D19" s="669" t="s">
        <v>225</v>
      </c>
      <c r="E19" s="670"/>
      <c r="F19" s="547" t="s">
        <v>226</v>
      </c>
      <c r="G19" s="530"/>
      <c r="H19" s="667">
        <v>0.1</v>
      </c>
      <c r="I19" s="668"/>
      <c r="J19" s="968"/>
      <c r="K19" s="601"/>
      <c r="L19" s="601"/>
      <c r="M19" s="691"/>
      <c r="N19" s="692"/>
    </row>
    <row r="20" spans="1:14" ht="39.75" customHeight="1">
      <c r="A20" s="963" t="s">
        <v>227</v>
      </c>
      <c r="B20" s="964"/>
      <c r="C20" s="967" t="s">
        <v>692</v>
      </c>
      <c r="D20" s="964"/>
      <c r="E20" s="964"/>
      <c r="F20" s="964"/>
      <c r="G20" s="964"/>
      <c r="H20" s="980">
        <f>(1-H19)/H18*D18*M16</f>
        <v>12284.460000000001</v>
      </c>
      <c r="I20" s="981"/>
      <c r="J20" s="984" t="s">
        <v>228</v>
      </c>
      <c r="K20" s="985"/>
      <c r="L20" s="985"/>
      <c r="M20" s="986">
        <f>ROUND(M18*H7,0)</f>
        <v>13883260</v>
      </c>
      <c r="N20" s="987"/>
    </row>
    <row r="21" spans="1:14" ht="20.100000000000001" customHeight="1">
      <c r="A21" s="505" t="s">
        <v>131</v>
      </c>
      <c r="B21" s="507" t="s">
        <v>229</v>
      </c>
      <c r="C21" s="508"/>
      <c r="D21" s="508"/>
      <c r="E21" s="508"/>
      <c r="F21" s="508"/>
      <c r="G21" s="508"/>
      <c r="H21" s="704">
        <v>530000</v>
      </c>
      <c r="I21" s="705"/>
      <c r="J21" s="969"/>
      <c r="K21" s="970"/>
      <c r="L21" s="970"/>
      <c r="M21" s="970"/>
      <c r="N21" s="971"/>
    </row>
    <row r="22" spans="1:14" ht="20.100000000000001" customHeight="1">
      <c r="A22" s="506"/>
      <c r="B22" s="511" t="s">
        <v>230</v>
      </c>
      <c r="C22" s="512"/>
      <c r="D22" s="512"/>
      <c r="E22" s="512"/>
      <c r="F22" s="512"/>
      <c r="G22" s="512"/>
      <c r="H22" s="540">
        <f>ROUND(M5*3.3058,0)</f>
        <v>113300</v>
      </c>
      <c r="I22" s="541"/>
      <c r="J22" s="972"/>
      <c r="K22" s="973"/>
      <c r="L22" s="973"/>
      <c r="M22" s="973"/>
      <c r="N22" s="974"/>
    </row>
    <row r="23" spans="1:14" ht="17.25" customHeight="1">
      <c r="A23" s="506"/>
      <c r="B23" s="982"/>
      <c r="C23" s="596"/>
      <c r="D23" s="596"/>
      <c r="E23" s="596"/>
      <c r="F23" s="596"/>
      <c r="G23" s="596"/>
      <c r="H23" s="596"/>
      <c r="I23" s="983"/>
      <c r="J23" s="975"/>
      <c r="K23" s="976"/>
      <c r="L23" s="976"/>
      <c r="M23" s="976"/>
      <c r="N23" s="977"/>
    </row>
    <row r="24" spans="1:14" ht="20.100000000000001" customHeight="1">
      <c r="A24" s="978" t="s">
        <v>231</v>
      </c>
      <c r="B24" s="979"/>
      <c r="C24" s="979"/>
      <c r="D24" s="979"/>
      <c r="E24" s="979"/>
      <c r="F24" s="979"/>
      <c r="G24" s="979"/>
      <c r="H24" s="979"/>
      <c r="I24" s="979"/>
      <c r="J24" s="979"/>
      <c r="K24" s="979"/>
      <c r="L24" s="979"/>
      <c r="M24" s="979"/>
    </row>
  </sheetData>
  <mergeCells count="88">
    <mergeCell ref="A24:M24"/>
    <mergeCell ref="H20:I20"/>
    <mergeCell ref="B23:I23"/>
    <mergeCell ref="M19:N19"/>
    <mergeCell ref="J20:L20"/>
    <mergeCell ref="M20:N20"/>
    <mergeCell ref="M17:N17"/>
    <mergeCell ref="F18:G18"/>
    <mergeCell ref="A21:A23"/>
    <mergeCell ref="D19:E19"/>
    <mergeCell ref="H19:I19"/>
    <mergeCell ref="D18:E18"/>
    <mergeCell ref="H22:I22"/>
    <mergeCell ref="A20:B20"/>
    <mergeCell ref="H18:I18"/>
    <mergeCell ref="B21:G21"/>
    <mergeCell ref="A19:C19"/>
    <mergeCell ref="F19:G19"/>
    <mergeCell ref="C20:G20"/>
    <mergeCell ref="H21:I21"/>
    <mergeCell ref="J19:L19"/>
    <mergeCell ref="J21:N23"/>
    <mergeCell ref="J17:L17"/>
    <mergeCell ref="B12:C12"/>
    <mergeCell ref="J15:L15"/>
    <mergeCell ref="D17:E17"/>
    <mergeCell ref="M14:N14"/>
    <mergeCell ref="F17:G17"/>
    <mergeCell ref="B15:F15"/>
    <mergeCell ref="G13:I13"/>
    <mergeCell ref="A17:C17"/>
    <mergeCell ref="A16:I16"/>
    <mergeCell ref="J16:L16"/>
    <mergeCell ref="M12:N12"/>
    <mergeCell ref="M13:N13"/>
    <mergeCell ref="M15:N15"/>
    <mergeCell ref="J13:L13"/>
    <mergeCell ref="M16:N16"/>
    <mergeCell ref="J18:L18"/>
    <mergeCell ref="M18:N18"/>
    <mergeCell ref="H17:I17"/>
    <mergeCell ref="B22:G22"/>
    <mergeCell ref="E8:G8"/>
    <mergeCell ref="G10:H10"/>
    <mergeCell ref="E11:F11"/>
    <mergeCell ref="I10:I12"/>
    <mergeCell ref="G15:I15"/>
    <mergeCell ref="B14:F14"/>
    <mergeCell ref="G14:I14"/>
    <mergeCell ref="G9:I9"/>
    <mergeCell ref="E10:F10"/>
    <mergeCell ref="B9:C9"/>
    <mergeCell ref="E9:F9"/>
    <mergeCell ref="G12:H12"/>
    <mergeCell ref="M9:N9"/>
    <mergeCell ref="M6:N6"/>
    <mergeCell ref="M10:N10"/>
    <mergeCell ref="M11:N11"/>
    <mergeCell ref="K11:L11"/>
    <mergeCell ref="M8:N8"/>
    <mergeCell ref="A9:A15"/>
    <mergeCell ref="H5:I5"/>
    <mergeCell ref="E5:G5"/>
    <mergeCell ref="B13:F13"/>
    <mergeCell ref="E12:F12"/>
    <mergeCell ref="G11:H11"/>
    <mergeCell ref="B10:C10"/>
    <mergeCell ref="B11:C11"/>
    <mergeCell ref="E7:G7"/>
    <mergeCell ref="A6:B7"/>
    <mergeCell ref="A5:C5"/>
    <mergeCell ref="A8:B8"/>
    <mergeCell ref="E6:G6"/>
    <mergeCell ref="J4:K4"/>
    <mergeCell ref="M5:N5"/>
    <mergeCell ref="J7:L7"/>
    <mergeCell ref="D4:I4"/>
    <mergeCell ref="A4:C4"/>
    <mergeCell ref="J5:L5"/>
    <mergeCell ref="M7:N7"/>
    <mergeCell ref="K1:M1"/>
    <mergeCell ref="A1:I1"/>
    <mergeCell ref="J2:N2"/>
    <mergeCell ref="A2:I2"/>
    <mergeCell ref="A3:C3"/>
    <mergeCell ref="D3:I3"/>
    <mergeCell ref="M3:N3"/>
    <mergeCell ref="J3:L3"/>
  </mergeCells>
  <phoneticPr fontId="3" type="noConversion"/>
  <printOptions horizontalCentered="1" verticalCentered="1"/>
  <pageMargins left="0.36" right="0.35" top="0.38" bottom="0.51181102362204722" header="0.31496062992125984" footer="0.31496062992125984"/>
  <pageSetup paperSize="9" scale="98" orientation="landscape"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2F5E7-6C77-4320-8226-D4B270FAACF0}">
  <sheetPr>
    <pageSetUpPr fitToPage="1"/>
  </sheetPr>
  <dimension ref="A1:Q45"/>
  <sheetViews>
    <sheetView tabSelected="1" workbookViewId="0">
      <selection activeCell="D9" sqref="D9"/>
    </sheetView>
  </sheetViews>
  <sheetFormatPr defaultRowHeight="15.75"/>
  <cols>
    <col min="1" max="1" width="8.5" style="128" customWidth="1"/>
    <col min="2" max="2" width="29.75" style="127" customWidth="1"/>
    <col min="3" max="3" width="4.625" style="199" customWidth="1"/>
    <col min="4" max="4" width="7.625" style="127" customWidth="1"/>
    <col min="5" max="5" width="5.625" style="199" customWidth="1"/>
    <col min="6" max="6" width="7.875" style="201" customWidth="1"/>
    <col min="7" max="7" width="9.625" style="127" customWidth="1"/>
    <col min="8" max="8" width="5.625" style="199" customWidth="1"/>
    <col min="9" max="9" width="7.875" style="201" customWidth="1"/>
    <col min="10" max="10" width="9.625" style="127" customWidth="1"/>
    <col min="11" max="11" width="5.625" style="199" customWidth="1"/>
    <col min="12" max="12" width="7.875" style="201" customWidth="1"/>
    <col min="13" max="13" width="9.625" style="127" customWidth="1"/>
    <col min="14" max="16384" width="9" style="127"/>
  </cols>
  <sheetData>
    <row r="1" spans="1:17" ht="21">
      <c r="A1" s="125" t="s">
        <v>447</v>
      </c>
      <c r="B1" s="126"/>
      <c r="C1" s="196"/>
      <c r="D1" s="126"/>
    </row>
    <row r="2" spans="1:17" s="136" customFormat="1" ht="28.5" customHeight="1">
      <c r="A2" s="463" t="s">
        <v>3</v>
      </c>
      <c r="B2" s="464"/>
      <c r="C2" s="1011" t="s">
        <v>345</v>
      </c>
      <c r="D2" s="1012"/>
      <c r="E2" s="200" t="s">
        <v>376</v>
      </c>
      <c r="F2" s="156" t="s">
        <v>379</v>
      </c>
      <c r="G2" s="456"/>
      <c r="H2" s="200" t="s">
        <v>380</v>
      </c>
      <c r="I2" s="156" t="s">
        <v>379</v>
      </c>
      <c r="J2" s="456"/>
      <c r="K2" s="200" t="s">
        <v>381</v>
      </c>
      <c r="L2" s="156" t="s">
        <v>379</v>
      </c>
      <c r="M2" s="456"/>
      <c r="O2" s="447"/>
      <c r="P2" s="447"/>
      <c r="Q2" s="447"/>
    </row>
    <row r="3" spans="1:17" ht="17.25" customHeight="1">
      <c r="A3" s="990" t="s">
        <v>421</v>
      </c>
      <c r="B3" s="991"/>
      <c r="C3" s="1013"/>
      <c r="D3" s="1014"/>
      <c r="E3" s="1008"/>
      <c r="F3" s="1008"/>
      <c r="G3" s="1008"/>
      <c r="H3" s="1008"/>
      <c r="I3" s="1008"/>
      <c r="J3" s="1008"/>
      <c r="K3" s="1008"/>
      <c r="L3" s="1008"/>
      <c r="M3" s="1008"/>
    </row>
    <row r="4" spans="1:17" ht="24" customHeight="1">
      <c r="A4" s="455" t="s">
        <v>377</v>
      </c>
      <c r="B4" s="454" t="s">
        <v>378</v>
      </c>
      <c r="C4" s="1009" t="s">
        <v>346</v>
      </c>
      <c r="D4" s="1010"/>
      <c r="E4" s="1009" t="s">
        <v>346</v>
      </c>
      <c r="F4" s="1010"/>
      <c r="G4" s="462" t="s">
        <v>347</v>
      </c>
      <c r="H4" s="1009" t="s">
        <v>346</v>
      </c>
      <c r="I4" s="1010"/>
      <c r="J4" s="462" t="s">
        <v>347</v>
      </c>
      <c r="K4" s="1009" t="s">
        <v>346</v>
      </c>
      <c r="L4" s="1010"/>
      <c r="M4" s="462" t="s">
        <v>347</v>
      </c>
    </row>
    <row r="5" spans="1:17">
      <c r="A5" s="990" t="s">
        <v>371</v>
      </c>
      <c r="B5" s="158" t="s">
        <v>348</v>
      </c>
      <c r="C5" s="457"/>
      <c r="D5" s="458"/>
      <c r="E5" s="457"/>
      <c r="F5" s="458"/>
      <c r="G5" s="459"/>
      <c r="H5" s="457"/>
      <c r="I5" s="458"/>
      <c r="J5" s="459"/>
      <c r="K5" s="457"/>
      <c r="L5" s="458"/>
      <c r="M5" s="459"/>
    </row>
    <row r="6" spans="1:17">
      <c r="A6" s="991"/>
      <c r="B6" s="158" t="s">
        <v>677</v>
      </c>
      <c r="C6" s="197"/>
      <c r="D6" s="129"/>
      <c r="E6" s="460"/>
      <c r="F6" s="461"/>
      <c r="G6" s="459"/>
      <c r="H6" s="460"/>
      <c r="I6" s="461"/>
      <c r="J6" s="459"/>
      <c r="K6" s="460"/>
      <c r="L6" s="461"/>
      <c r="M6" s="459"/>
    </row>
    <row r="7" spans="1:17">
      <c r="A7" s="991"/>
      <c r="B7" s="158" t="s">
        <v>349</v>
      </c>
      <c r="C7" s="197"/>
      <c r="D7" s="129"/>
      <c r="E7" s="460"/>
      <c r="F7" s="461"/>
      <c r="G7" s="459"/>
      <c r="H7" s="460"/>
      <c r="I7" s="461"/>
      <c r="J7" s="459"/>
      <c r="K7" s="460"/>
      <c r="L7" s="461"/>
      <c r="M7" s="459"/>
    </row>
    <row r="8" spans="1:17">
      <c r="A8" s="991"/>
      <c r="B8" s="158" t="s">
        <v>350</v>
      </c>
      <c r="C8" s="197"/>
      <c r="D8" s="129"/>
      <c r="E8" s="460"/>
      <c r="F8" s="461"/>
      <c r="G8" s="459"/>
      <c r="H8" s="460"/>
      <c r="I8" s="461"/>
      <c r="J8" s="459"/>
      <c r="K8" s="460"/>
      <c r="L8" s="461"/>
      <c r="M8" s="459"/>
    </row>
    <row r="9" spans="1:17">
      <c r="A9" s="991"/>
      <c r="B9" s="158" t="s">
        <v>351</v>
      </c>
      <c r="C9" s="197"/>
      <c r="D9" s="129"/>
      <c r="E9" s="460"/>
      <c r="F9" s="461"/>
      <c r="G9" s="459"/>
      <c r="H9" s="460"/>
      <c r="I9" s="461"/>
      <c r="J9" s="459"/>
      <c r="K9" s="460"/>
      <c r="L9" s="461"/>
      <c r="M9" s="459"/>
    </row>
    <row r="10" spans="1:17" ht="28.5">
      <c r="A10" s="991"/>
      <c r="B10" s="158" t="s">
        <v>372</v>
      </c>
      <c r="C10" s="197"/>
      <c r="D10" s="129"/>
      <c r="E10" s="465"/>
      <c r="F10" s="466"/>
      <c r="G10" s="467"/>
      <c r="H10" s="465"/>
      <c r="I10" s="466"/>
      <c r="J10" s="467"/>
      <c r="K10" s="465"/>
      <c r="L10" s="466"/>
      <c r="M10" s="467"/>
    </row>
    <row r="11" spans="1:17" ht="16.5">
      <c r="A11" s="991"/>
      <c r="B11" s="994" t="s">
        <v>352</v>
      </c>
      <c r="C11" s="995"/>
      <c r="D11" s="996"/>
      <c r="E11" s="988"/>
      <c r="F11" s="989"/>
      <c r="G11" s="468" t="s">
        <v>370</v>
      </c>
      <c r="H11" s="988"/>
      <c r="I11" s="989"/>
      <c r="J11" s="468" t="s">
        <v>370</v>
      </c>
      <c r="K11" s="988"/>
      <c r="L11" s="989"/>
      <c r="M11" s="468" t="s">
        <v>370</v>
      </c>
    </row>
    <row r="12" spans="1:17">
      <c r="A12" s="990" t="s">
        <v>373</v>
      </c>
      <c r="B12" s="158" t="s">
        <v>353</v>
      </c>
      <c r="C12" s="197"/>
      <c r="D12" s="129"/>
      <c r="E12" s="465"/>
      <c r="F12" s="466"/>
      <c r="G12" s="467"/>
      <c r="H12" s="465"/>
      <c r="I12" s="466"/>
      <c r="J12" s="467"/>
      <c r="K12" s="465"/>
      <c r="L12" s="466"/>
      <c r="M12" s="467"/>
    </row>
    <row r="13" spans="1:17">
      <c r="A13" s="991"/>
      <c r="B13" s="158" t="s">
        <v>354</v>
      </c>
      <c r="C13" s="197"/>
      <c r="D13" s="129"/>
      <c r="E13" s="465"/>
      <c r="F13" s="466"/>
      <c r="G13" s="467"/>
      <c r="H13" s="465"/>
      <c r="I13" s="466"/>
      <c r="J13" s="467"/>
      <c r="K13" s="465"/>
      <c r="L13" s="466"/>
      <c r="M13" s="467"/>
    </row>
    <row r="14" spans="1:17">
      <c r="A14" s="991"/>
      <c r="B14" s="158" t="s">
        <v>355</v>
      </c>
      <c r="C14" s="197"/>
      <c r="D14" s="129"/>
      <c r="E14" s="465"/>
      <c r="F14" s="466"/>
      <c r="G14" s="467"/>
      <c r="H14" s="465"/>
      <c r="I14" s="466"/>
      <c r="J14" s="467"/>
      <c r="K14" s="465"/>
      <c r="L14" s="466"/>
      <c r="M14" s="467"/>
    </row>
    <row r="15" spans="1:17">
      <c r="A15" s="991"/>
      <c r="B15" s="158" t="s">
        <v>542</v>
      </c>
      <c r="C15" s="197"/>
      <c r="D15" s="129"/>
      <c r="E15" s="465"/>
      <c r="F15" s="466"/>
      <c r="G15" s="467"/>
      <c r="H15" s="465"/>
      <c r="I15" s="466"/>
      <c r="J15" s="467"/>
      <c r="K15" s="465"/>
      <c r="L15" s="466"/>
      <c r="M15" s="467"/>
    </row>
    <row r="16" spans="1:17">
      <c r="A16" s="991"/>
      <c r="B16" s="158" t="s">
        <v>356</v>
      </c>
      <c r="C16" s="197"/>
      <c r="D16" s="129"/>
      <c r="E16" s="465"/>
      <c r="F16" s="466"/>
      <c r="G16" s="467"/>
      <c r="H16" s="465"/>
      <c r="I16" s="466"/>
      <c r="J16" s="467"/>
      <c r="K16" s="465"/>
      <c r="L16" s="466"/>
      <c r="M16" s="467"/>
    </row>
    <row r="17" spans="1:13">
      <c r="A17" s="991"/>
      <c r="B17" s="158" t="s">
        <v>357</v>
      </c>
      <c r="C17" s="197"/>
      <c r="D17" s="129"/>
      <c r="E17" s="465"/>
      <c r="F17" s="466"/>
      <c r="G17" s="467"/>
      <c r="H17" s="465"/>
      <c r="I17" s="466"/>
      <c r="J17" s="467"/>
      <c r="K17" s="465"/>
      <c r="L17" s="466"/>
      <c r="M17" s="467"/>
    </row>
    <row r="18" spans="1:13" ht="16.5">
      <c r="A18" s="991"/>
      <c r="B18" s="994" t="s">
        <v>352</v>
      </c>
      <c r="C18" s="995"/>
      <c r="D18" s="996"/>
      <c r="E18" s="988"/>
      <c r="F18" s="989"/>
      <c r="G18" s="468" t="s">
        <v>370</v>
      </c>
      <c r="H18" s="988"/>
      <c r="I18" s="989"/>
      <c r="J18" s="468" t="s">
        <v>370</v>
      </c>
      <c r="K18" s="988"/>
      <c r="L18" s="989"/>
      <c r="M18" s="468" t="s">
        <v>370</v>
      </c>
    </row>
    <row r="19" spans="1:13">
      <c r="A19" s="990" t="s">
        <v>374</v>
      </c>
      <c r="B19" s="158" t="s">
        <v>358</v>
      </c>
      <c r="C19" s="457"/>
      <c r="D19" s="458"/>
      <c r="E19" s="465"/>
      <c r="F19" s="469"/>
      <c r="G19" s="467"/>
      <c r="H19" s="465"/>
      <c r="I19" s="469"/>
      <c r="J19" s="467"/>
      <c r="K19" s="465"/>
      <c r="L19" s="469"/>
      <c r="M19" s="467"/>
    </row>
    <row r="20" spans="1:13">
      <c r="A20" s="991"/>
      <c r="B20" s="158" t="s">
        <v>359</v>
      </c>
      <c r="C20" s="457"/>
      <c r="D20" s="461"/>
      <c r="E20" s="465"/>
      <c r="F20" s="466"/>
      <c r="G20" s="467"/>
      <c r="H20" s="465"/>
      <c r="I20" s="466"/>
      <c r="J20" s="467"/>
      <c r="K20" s="465"/>
      <c r="L20" s="466"/>
      <c r="M20" s="467"/>
    </row>
    <row r="21" spans="1:13">
      <c r="A21" s="991"/>
      <c r="B21" s="158" t="s">
        <v>360</v>
      </c>
      <c r="C21" s="457"/>
      <c r="D21" s="461"/>
      <c r="E21" s="465"/>
      <c r="F21" s="466"/>
      <c r="G21" s="467"/>
      <c r="H21" s="465"/>
      <c r="I21" s="466"/>
      <c r="J21" s="467"/>
      <c r="K21" s="465"/>
      <c r="L21" s="466"/>
      <c r="M21" s="467"/>
    </row>
    <row r="22" spans="1:13">
      <c r="A22" s="991"/>
      <c r="B22" s="158" t="s">
        <v>361</v>
      </c>
      <c r="C22" s="457"/>
      <c r="D22" s="461"/>
      <c r="E22" s="465"/>
      <c r="F22" s="466"/>
      <c r="G22" s="467"/>
      <c r="H22" s="465"/>
      <c r="I22" s="466"/>
      <c r="J22" s="467"/>
      <c r="K22" s="465"/>
      <c r="L22" s="466"/>
      <c r="M22" s="467"/>
    </row>
    <row r="23" spans="1:13">
      <c r="A23" s="991"/>
      <c r="B23" s="158" t="s">
        <v>362</v>
      </c>
      <c r="C23" s="457"/>
      <c r="D23" s="461"/>
      <c r="E23" s="465"/>
      <c r="F23" s="466"/>
      <c r="G23" s="467"/>
      <c r="H23" s="465"/>
      <c r="I23" s="466"/>
      <c r="J23" s="467"/>
      <c r="K23" s="465"/>
      <c r="L23" s="466"/>
      <c r="M23" s="467"/>
    </row>
    <row r="24" spans="1:13" ht="16.5">
      <c r="A24" s="991"/>
      <c r="B24" s="994" t="s">
        <v>352</v>
      </c>
      <c r="C24" s="995"/>
      <c r="D24" s="996"/>
      <c r="E24" s="988"/>
      <c r="F24" s="989"/>
      <c r="G24" s="468" t="s">
        <v>370</v>
      </c>
      <c r="H24" s="988"/>
      <c r="I24" s="989"/>
      <c r="J24" s="468" t="s">
        <v>370</v>
      </c>
      <c r="K24" s="988"/>
      <c r="L24" s="989"/>
      <c r="M24" s="468" t="s">
        <v>370</v>
      </c>
    </row>
    <row r="25" spans="1:13" ht="42.75">
      <c r="A25" s="990" t="s">
        <v>694</v>
      </c>
      <c r="B25" s="158" t="s">
        <v>693</v>
      </c>
      <c r="C25" s="198"/>
      <c r="D25" s="130"/>
      <c r="E25" s="465"/>
      <c r="F25" s="466"/>
      <c r="G25" s="467"/>
      <c r="H25" s="465"/>
      <c r="I25" s="466"/>
      <c r="J25" s="467"/>
      <c r="K25" s="465"/>
      <c r="L25" s="466"/>
      <c r="M25" s="467"/>
    </row>
    <row r="26" spans="1:13" ht="16.5">
      <c r="A26" s="991"/>
      <c r="B26" s="994" t="s">
        <v>352</v>
      </c>
      <c r="C26" s="995"/>
      <c r="D26" s="996"/>
      <c r="E26" s="988"/>
      <c r="F26" s="989"/>
      <c r="G26" s="468" t="s">
        <v>370</v>
      </c>
      <c r="H26" s="988"/>
      <c r="I26" s="989"/>
      <c r="J26" s="468" t="s">
        <v>370</v>
      </c>
      <c r="K26" s="988"/>
      <c r="L26" s="989"/>
      <c r="M26" s="468" t="s">
        <v>370</v>
      </c>
    </row>
    <row r="27" spans="1:13" ht="28.5">
      <c r="A27" s="990" t="s">
        <v>375</v>
      </c>
      <c r="B27" s="158" t="s">
        <v>363</v>
      </c>
      <c r="C27" s="197"/>
      <c r="D27" s="129"/>
      <c r="E27" s="465"/>
      <c r="F27" s="466"/>
      <c r="G27" s="467"/>
      <c r="H27" s="465"/>
      <c r="I27" s="466"/>
      <c r="J27" s="467"/>
      <c r="K27" s="465"/>
      <c r="L27" s="466"/>
      <c r="M27" s="467"/>
    </row>
    <row r="28" spans="1:13" ht="28.5">
      <c r="A28" s="991"/>
      <c r="B28" s="158" t="s">
        <v>364</v>
      </c>
      <c r="C28" s="197"/>
      <c r="D28" s="129"/>
      <c r="E28" s="465"/>
      <c r="F28" s="466"/>
      <c r="G28" s="467"/>
      <c r="H28" s="465"/>
      <c r="I28" s="466"/>
      <c r="J28" s="467"/>
      <c r="K28" s="465"/>
      <c r="L28" s="466"/>
      <c r="M28" s="467"/>
    </row>
    <row r="29" spans="1:13" ht="28.5">
      <c r="A29" s="991"/>
      <c r="B29" s="158" t="s">
        <v>365</v>
      </c>
      <c r="C29" s="197"/>
      <c r="D29" s="129"/>
      <c r="E29" s="465"/>
      <c r="F29" s="466"/>
      <c r="G29" s="467"/>
      <c r="H29" s="465"/>
      <c r="I29" s="466"/>
      <c r="J29" s="467"/>
      <c r="K29" s="465"/>
      <c r="L29" s="466"/>
      <c r="M29" s="467"/>
    </row>
    <row r="30" spans="1:13">
      <c r="A30" s="991"/>
      <c r="B30" s="158" t="s">
        <v>366</v>
      </c>
      <c r="C30" s="197"/>
      <c r="D30" s="129"/>
      <c r="E30" s="465"/>
      <c r="F30" s="466"/>
      <c r="G30" s="467"/>
      <c r="H30" s="465"/>
      <c r="I30" s="466"/>
      <c r="J30" s="467"/>
      <c r="K30" s="465"/>
      <c r="L30" s="466"/>
      <c r="M30" s="467"/>
    </row>
    <row r="31" spans="1:13">
      <c r="A31" s="991"/>
      <c r="B31" s="158" t="s">
        <v>367</v>
      </c>
      <c r="C31" s="197"/>
      <c r="D31" s="129"/>
      <c r="E31" s="465"/>
      <c r="F31" s="466"/>
      <c r="G31" s="467"/>
      <c r="H31" s="465"/>
      <c r="I31" s="466"/>
      <c r="J31" s="467"/>
      <c r="K31" s="465"/>
      <c r="L31" s="466"/>
      <c r="M31" s="467"/>
    </row>
    <row r="32" spans="1:13" ht="28.5">
      <c r="A32" s="991"/>
      <c r="B32" s="158" t="s">
        <v>368</v>
      </c>
      <c r="C32" s="197"/>
      <c r="D32" s="129"/>
      <c r="E32" s="465"/>
      <c r="F32" s="466"/>
      <c r="G32" s="467"/>
      <c r="H32" s="465"/>
      <c r="I32" s="466"/>
      <c r="J32" s="467"/>
      <c r="K32" s="465"/>
      <c r="L32" s="466"/>
      <c r="M32" s="467"/>
    </row>
    <row r="33" spans="1:13" ht="16.5">
      <c r="A33" s="991"/>
      <c r="B33" s="994" t="s">
        <v>352</v>
      </c>
      <c r="C33" s="995"/>
      <c r="D33" s="996"/>
      <c r="E33" s="988"/>
      <c r="F33" s="989"/>
      <c r="G33" s="468" t="s">
        <v>370</v>
      </c>
      <c r="H33" s="988"/>
      <c r="I33" s="989"/>
      <c r="J33" s="468" t="s">
        <v>370</v>
      </c>
      <c r="K33" s="988"/>
      <c r="L33" s="989"/>
      <c r="M33" s="468" t="s">
        <v>370</v>
      </c>
    </row>
    <row r="34" spans="1:13" ht="28.5">
      <c r="A34" s="990" t="s">
        <v>678</v>
      </c>
      <c r="B34" s="158" t="s">
        <v>545</v>
      </c>
      <c r="C34" s="197"/>
      <c r="D34" s="129"/>
      <c r="E34" s="465"/>
      <c r="F34" s="466"/>
      <c r="G34" s="467"/>
      <c r="H34" s="465"/>
      <c r="I34" s="466"/>
      <c r="J34" s="467"/>
      <c r="K34" s="465"/>
      <c r="L34" s="466"/>
      <c r="M34" s="467"/>
    </row>
    <row r="35" spans="1:13">
      <c r="A35" s="991"/>
      <c r="B35" s="158" t="s">
        <v>546</v>
      </c>
      <c r="C35" s="197"/>
      <c r="D35" s="129"/>
      <c r="E35" s="465"/>
      <c r="F35" s="466"/>
      <c r="G35" s="467"/>
      <c r="H35" s="465"/>
      <c r="I35" s="466"/>
      <c r="J35" s="467"/>
      <c r="K35" s="465"/>
      <c r="L35" s="466"/>
      <c r="M35" s="467"/>
    </row>
    <row r="36" spans="1:13">
      <c r="A36" s="991"/>
      <c r="B36" s="158" t="s">
        <v>547</v>
      </c>
      <c r="C36" s="197"/>
      <c r="D36" s="129"/>
      <c r="E36" s="465"/>
      <c r="F36" s="466"/>
      <c r="G36" s="467"/>
      <c r="H36" s="465"/>
      <c r="I36" s="466"/>
      <c r="J36" s="467"/>
      <c r="K36" s="465"/>
      <c r="L36" s="466"/>
      <c r="M36" s="467"/>
    </row>
    <row r="37" spans="1:13" ht="16.5">
      <c r="A37" s="991"/>
      <c r="B37" s="994" t="s">
        <v>544</v>
      </c>
      <c r="C37" s="995"/>
      <c r="D37" s="996"/>
      <c r="E37" s="988"/>
      <c r="F37" s="989"/>
      <c r="G37" s="468" t="s">
        <v>370</v>
      </c>
      <c r="H37" s="988"/>
      <c r="I37" s="989"/>
      <c r="J37" s="468" t="s">
        <v>370</v>
      </c>
      <c r="K37" s="988"/>
      <c r="L37" s="989"/>
      <c r="M37" s="468" t="s">
        <v>370</v>
      </c>
    </row>
    <row r="38" spans="1:13" ht="28.5">
      <c r="A38" s="992" t="s">
        <v>548</v>
      </c>
      <c r="B38" s="158" t="s">
        <v>662</v>
      </c>
      <c r="C38" s="197"/>
      <c r="D38" s="129"/>
      <c r="E38" s="470"/>
      <c r="F38" s="470"/>
      <c r="G38" s="467"/>
      <c r="H38" s="465"/>
      <c r="I38" s="466"/>
      <c r="J38" s="467"/>
      <c r="K38" s="465"/>
      <c r="L38" s="466"/>
      <c r="M38" s="467"/>
    </row>
    <row r="39" spans="1:13" ht="16.5">
      <c r="A39" s="993"/>
      <c r="B39" s="377" t="s">
        <v>382</v>
      </c>
      <c r="C39" s="378"/>
      <c r="D39" s="379"/>
      <c r="E39" s="988"/>
      <c r="F39" s="989"/>
      <c r="G39" s="468" t="s">
        <v>369</v>
      </c>
      <c r="H39" s="988"/>
      <c r="I39" s="989"/>
      <c r="J39" s="468" t="s">
        <v>369</v>
      </c>
      <c r="K39" s="988"/>
      <c r="L39" s="989"/>
      <c r="M39" s="468" t="s">
        <v>369</v>
      </c>
    </row>
    <row r="40" spans="1:13">
      <c r="A40" s="990" t="s">
        <v>543</v>
      </c>
      <c r="B40" s="197"/>
      <c r="C40" s="197"/>
      <c r="D40" s="129"/>
      <c r="E40" s="465"/>
      <c r="F40" s="466"/>
      <c r="G40" s="467"/>
      <c r="H40" s="465"/>
      <c r="I40" s="466"/>
      <c r="J40" s="467"/>
      <c r="K40" s="465"/>
      <c r="L40" s="466"/>
      <c r="M40" s="467"/>
    </row>
    <row r="41" spans="1:13" ht="16.5">
      <c r="A41" s="991"/>
      <c r="B41" s="994" t="s">
        <v>352</v>
      </c>
      <c r="C41" s="995"/>
      <c r="D41" s="996"/>
      <c r="E41" s="988"/>
      <c r="F41" s="989"/>
      <c r="G41" s="468" t="s">
        <v>370</v>
      </c>
      <c r="H41" s="988"/>
      <c r="I41" s="989"/>
      <c r="J41" s="468" t="s">
        <v>370</v>
      </c>
      <c r="K41" s="988"/>
      <c r="L41" s="989"/>
      <c r="M41" s="468" t="s">
        <v>370</v>
      </c>
    </row>
    <row r="42" spans="1:13" ht="42.75">
      <c r="A42" s="157" t="s">
        <v>583</v>
      </c>
      <c r="B42" s="998" t="s">
        <v>549</v>
      </c>
      <c r="C42" s="999"/>
      <c r="D42" s="1000"/>
      <c r="E42" s="988"/>
      <c r="F42" s="997"/>
      <c r="G42" s="468" t="s">
        <v>369</v>
      </c>
      <c r="H42" s="988"/>
      <c r="I42" s="997"/>
      <c r="J42" s="468" t="s">
        <v>369</v>
      </c>
      <c r="K42" s="988"/>
      <c r="L42" s="997"/>
      <c r="M42" s="468" t="s">
        <v>369</v>
      </c>
    </row>
    <row r="43" spans="1:13" ht="42" customHeight="1">
      <c r="A43" s="1001" t="s">
        <v>390</v>
      </c>
      <c r="B43" s="159" t="s">
        <v>396</v>
      </c>
      <c r="C43" s="1006"/>
      <c r="D43" s="1006"/>
      <c r="E43" s="1007"/>
      <c r="F43" s="1007"/>
      <c r="G43" s="1007"/>
      <c r="H43" s="1007"/>
      <c r="I43" s="1007"/>
      <c r="J43" s="1007"/>
      <c r="K43" s="1007"/>
      <c r="L43" s="1007"/>
      <c r="M43" s="1007"/>
    </row>
    <row r="44" spans="1:13" ht="40.5" customHeight="1">
      <c r="A44" s="1002"/>
      <c r="B44" s="159" t="s">
        <v>397</v>
      </c>
      <c r="C44" s="1003"/>
      <c r="D44" s="1004"/>
      <c r="E44" s="1004"/>
      <c r="F44" s="1004"/>
      <c r="G44" s="1004"/>
      <c r="H44" s="1004"/>
      <c r="I44" s="1004"/>
      <c r="J44" s="1004"/>
      <c r="K44" s="1004"/>
      <c r="L44" s="1004"/>
      <c r="M44" s="1005"/>
    </row>
    <row r="45" spans="1:13" ht="16.5">
      <c r="A45" s="448"/>
    </row>
  </sheetData>
  <mergeCells count="59">
    <mergeCell ref="K11:L11"/>
    <mergeCell ref="K4:L4"/>
    <mergeCell ref="E18:F18"/>
    <mergeCell ref="K18:L18"/>
    <mergeCell ref="E11:F11"/>
    <mergeCell ref="H11:I11"/>
    <mergeCell ref="H18:I18"/>
    <mergeCell ref="C2:D2"/>
    <mergeCell ref="C3:D3"/>
    <mergeCell ref="A12:A18"/>
    <mergeCell ref="A5:A11"/>
    <mergeCell ref="C4:D4"/>
    <mergeCell ref="A3:B3"/>
    <mergeCell ref="B11:D11"/>
    <mergeCell ref="B18:D18"/>
    <mergeCell ref="E3:G3"/>
    <mergeCell ref="H3:J3"/>
    <mergeCell ref="K3:M3"/>
    <mergeCell ref="E4:F4"/>
    <mergeCell ref="H4:I4"/>
    <mergeCell ref="A43:A44"/>
    <mergeCell ref="C44:M44"/>
    <mergeCell ref="C43:D43"/>
    <mergeCell ref="E43:G43"/>
    <mergeCell ref="H43:J43"/>
    <mergeCell ref="K43:M43"/>
    <mergeCell ref="H37:I37"/>
    <mergeCell ref="K37:L37"/>
    <mergeCell ref="K42:L42"/>
    <mergeCell ref="K24:L24"/>
    <mergeCell ref="H26:I26"/>
    <mergeCell ref="K33:L33"/>
    <mergeCell ref="E42:F42"/>
    <mergeCell ref="E39:F39"/>
    <mergeCell ref="H39:I39"/>
    <mergeCell ref="K39:L39"/>
    <mergeCell ref="B42:D42"/>
    <mergeCell ref="H42:I42"/>
    <mergeCell ref="E41:F41"/>
    <mergeCell ref="B41:D41"/>
    <mergeCell ref="K41:L41"/>
    <mergeCell ref="H41:I41"/>
    <mergeCell ref="A19:A24"/>
    <mergeCell ref="A25:A26"/>
    <mergeCell ref="E33:F33"/>
    <mergeCell ref="A27:A33"/>
    <mergeCell ref="K26:L26"/>
    <mergeCell ref="H24:I24"/>
    <mergeCell ref="H33:I33"/>
    <mergeCell ref="B33:D33"/>
    <mergeCell ref="B26:D26"/>
    <mergeCell ref="B24:D24"/>
    <mergeCell ref="E26:F26"/>
    <mergeCell ref="E24:F24"/>
    <mergeCell ref="E37:F37"/>
    <mergeCell ref="A34:A37"/>
    <mergeCell ref="A38:A39"/>
    <mergeCell ref="A40:A41"/>
    <mergeCell ref="B37:D37"/>
  </mergeCells>
  <phoneticPr fontId="3" type="noConversion"/>
  <printOptions horizontalCentered="1"/>
  <pageMargins left="0.23622047244094491" right="0.23622047244094491" top="0.35433070866141736" bottom="0.51181102362204722" header="0.31496062992125984" footer="0.31496062992125984"/>
  <pageSetup paperSize="9" scale="82"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DC3AA-BB60-48FF-9CED-621D11B50F5C}">
  <sheetPr>
    <tabColor indexed="10"/>
    <pageSetUpPr fitToPage="1"/>
  </sheetPr>
  <dimension ref="A1:AE36"/>
  <sheetViews>
    <sheetView topLeftCell="A26" workbookViewId="0">
      <selection activeCell="N2" sqref="N2:Q2"/>
    </sheetView>
  </sheetViews>
  <sheetFormatPr defaultRowHeight="15.75"/>
  <cols>
    <col min="1" max="1" width="5.25" style="1" customWidth="1"/>
    <col min="2" max="2" width="21" style="1" customWidth="1"/>
    <col min="3" max="3" width="12.375" style="1" customWidth="1"/>
    <col min="4" max="4" width="4.5" style="1" customWidth="1"/>
    <col min="5" max="5" width="5.875" style="2" customWidth="1"/>
    <col min="6" max="6" width="7.625" style="1" customWidth="1"/>
    <col min="7" max="7" width="4.25" style="1" customWidth="1"/>
    <col min="8" max="8" width="2.25" style="2" customWidth="1"/>
    <col min="9" max="9" width="5.875" style="3" customWidth="1"/>
    <col min="10" max="10" width="7.625" style="1" customWidth="1"/>
    <col min="11" max="11" width="4.25" style="1" customWidth="1"/>
    <col min="12" max="12" width="2.5" style="2" customWidth="1"/>
    <col min="13" max="13" width="5.875" style="3" customWidth="1"/>
    <col min="14" max="14" width="7.625" style="1" customWidth="1"/>
    <col min="15" max="15" width="4.375" style="1" customWidth="1"/>
    <col min="16" max="16" width="2.25" style="2" customWidth="1"/>
    <col min="17" max="17" width="5.875" style="3" customWidth="1"/>
    <col min="18" max="18" width="7.625" style="1" customWidth="1"/>
    <col min="19" max="19" width="4.25" style="1" customWidth="1"/>
    <col min="20" max="20" width="2.25" style="1" customWidth="1"/>
    <col min="21" max="21" width="5.875" style="1" customWidth="1"/>
    <col min="22" max="22" width="7.625" style="1" customWidth="1"/>
    <col min="23" max="23" width="4.25" style="1" customWidth="1"/>
    <col min="24" max="24" width="2.25" style="1" customWidth="1"/>
    <col min="25" max="25" width="5.875" style="1" customWidth="1"/>
    <col min="26" max="16384" width="9" style="1"/>
  </cols>
  <sheetData>
    <row r="1" spans="1:25" ht="21" customHeight="1">
      <c r="A1" s="1063" t="s">
        <v>448</v>
      </c>
      <c r="B1" s="1064"/>
      <c r="C1" s="1064"/>
      <c r="D1" s="1064"/>
      <c r="E1" s="1064"/>
      <c r="F1" s="1064"/>
      <c r="G1" s="1064"/>
      <c r="H1" s="1064"/>
      <c r="I1" s="1064"/>
      <c r="J1" s="1064"/>
      <c r="K1" s="1064"/>
      <c r="L1" s="1064"/>
      <c r="M1" s="1064"/>
      <c r="N1" s="4" t="s">
        <v>49</v>
      </c>
      <c r="O1" s="1053" t="str">
        <f>'85表7個別因素清冊格式'!O2</f>
        <v>1040301-○○-○○○</v>
      </c>
      <c r="P1" s="1053"/>
      <c r="Q1" s="1053"/>
      <c r="R1" s="1054"/>
      <c r="S1" s="1054"/>
      <c r="T1" s="143" t="s">
        <v>412</v>
      </c>
      <c r="U1" s="5"/>
      <c r="V1" s="5"/>
      <c r="W1" s="144" t="str">
        <f>I2</f>
        <v>0001</v>
      </c>
      <c r="X1" s="145" t="s">
        <v>116</v>
      </c>
      <c r="Y1" s="146" t="str">
        <f>Y2</f>
        <v>0005</v>
      </c>
    </row>
    <row r="2" spans="1:25" ht="21" customHeight="1">
      <c r="A2" s="1065" t="s">
        <v>118</v>
      </c>
      <c r="B2" s="1066"/>
      <c r="C2" s="1015" t="s">
        <v>115</v>
      </c>
      <c r="D2" s="1016"/>
      <c r="E2" s="436" t="str">
        <f>'85表7個別因素清冊格式'!M3</f>
        <v>0006</v>
      </c>
      <c r="F2" s="1101" t="s">
        <v>117</v>
      </c>
      <c r="G2" s="1023"/>
      <c r="H2" s="1023"/>
      <c r="I2" s="160" t="str">
        <f>'85表7個別因素清冊格式'!D3</f>
        <v>0001</v>
      </c>
      <c r="J2" s="1022" t="s">
        <v>117</v>
      </c>
      <c r="K2" s="1023"/>
      <c r="L2" s="1023"/>
      <c r="M2" s="160" t="str">
        <f>'85表7個別因素清冊格式'!E3</f>
        <v>0002</v>
      </c>
      <c r="N2" s="1022" t="s">
        <v>117</v>
      </c>
      <c r="O2" s="1023"/>
      <c r="P2" s="1023"/>
      <c r="Q2" s="160" t="str">
        <f>'85表7個別因素清冊格式'!J3</f>
        <v>0003</v>
      </c>
      <c r="R2" s="1022" t="s">
        <v>117</v>
      </c>
      <c r="S2" s="1023"/>
      <c r="T2" s="1023"/>
      <c r="U2" s="160" t="str">
        <f>'85表7個別因素清冊格式'!K3</f>
        <v>0004</v>
      </c>
      <c r="V2" s="1022" t="s">
        <v>117</v>
      </c>
      <c r="W2" s="1023"/>
      <c r="X2" s="1023"/>
      <c r="Y2" s="160" t="str">
        <f>'85表7個別因素清冊格式'!L3</f>
        <v>0005</v>
      </c>
    </row>
    <row r="3" spans="1:25" ht="15" customHeight="1">
      <c r="A3" s="1067"/>
      <c r="B3" s="1068"/>
      <c r="C3" s="1024" t="s">
        <v>50</v>
      </c>
      <c r="D3" s="1025"/>
      <c r="E3" s="1069"/>
      <c r="F3" s="1024" t="s">
        <v>50</v>
      </c>
      <c r="G3" s="1025"/>
      <c r="H3" s="1025"/>
      <c r="I3" s="161" t="s">
        <v>51</v>
      </c>
      <c r="J3" s="1024" t="s">
        <v>50</v>
      </c>
      <c r="K3" s="1025"/>
      <c r="L3" s="1025"/>
      <c r="M3" s="161" t="s">
        <v>51</v>
      </c>
      <c r="N3" s="1024" t="s">
        <v>50</v>
      </c>
      <c r="O3" s="1025"/>
      <c r="P3" s="1025"/>
      <c r="Q3" s="161" t="s">
        <v>51</v>
      </c>
      <c r="R3" s="1024" t="s">
        <v>50</v>
      </c>
      <c r="S3" s="1025"/>
      <c r="T3" s="1025"/>
      <c r="U3" s="161" t="s">
        <v>51</v>
      </c>
      <c r="V3" s="1024" t="s">
        <v>50</v>
      </c>
      <c r="W3" s="1025"/>
      <c r="X3" s="1025"/>
      <c r="Y3" s="161" t="s">
        <v>51</v>
      </c>
    </row>
    <row r="4" spans="1:25" ht="28.5" customHeight="1">
      <c r="A4" s="1073" t="s">
        <v>4</v>
      </c>
      <c r="B4" s="1074"/>
      <c r="C4" s="1070" t="s">
        <v>152</v>
      </c>
      <c r="D4" s="1071"/>
      <c r="E4" s="1072"/>
      <c r="F4" s="1057" t="s">
        <v>153</v>
      </c>
      <c r="G4" s="1058"/>
      <c r="H4" s="1058"/>
      <c r="I4" s="1059"/>
      <c r="J4" s="1057" t="s">
        <v>154</v>
      </c>
      <c r="K4" s="1058"/>
      <c r="L4" s="1058"/>
      <c r="M4" s="1059"/>
      <c r="N4" s="1057" t="s">
        <v>155</v>
      </c>
      <c r="O4" s="1058"/>
      <c r="P4" s="1058"/>
      <c r="Q4" s="1059"/>
      <c r="R4" s="1057" t="s">
        <v>156</v>
      </c>
      <c r="S4" s="1058"/>
      <c r="T4" s="1058"/>
      <c r="U4" s="1059"/>
      <c r="V4" s="1057" t="s">
        <v>157</v>
      </c>
      <c r="W4" s="1058"/>
      <c r="X4" s="1058"/>
      <c r="Y4" s="1059"/>
    </row>
    <row r="5" spans="1:25" ht="19.5" customHeight="1">
      <c r="A5" s="1075" t="s">
        <v>680</v>
      </c>
      <c r="B5" s="1076"/>
      <c r="C5" s="1031" t="e">
        <f>'114表14比準地地價估計表'!J7</f>
        <v>#REF!</v>
      </c>
      <c r="D5" s="1032"/>
      <c r="E5" s="1033"/>
      <c r="F5" s="1060"/>
      <c r="G5" s="1061"/>
      <c r="H5" s="1061"/>
      <c r="I5" s="1062"/>
      <c r="J5" s="1060"/>
      <c r="K5" s="1061"/>
      <c r="L5" s="1061"/>
      <c r="M5" s="1062"/>
      <c r="N5" s="1060"/>
      <c r="O5" s="1061"/>
      <c r="P5" s="1061"/>
      <c r="Q5" s="1062"/>
      <c r="R5" s="1060"/>
      <c r="S5" s="1061"/>
      <c r="T5" s="1061"/>
      <c r="U5" s="1062"/>
      <c r="V5" s="1060"/>
      <c r="W5" s="1061"/>
      <c r="X5" s="1061"/>
      <c r="Y5" s="1062"/>
    </row>
    <row r="6" spans="1:25" ht="13.5" customHeight="1">
      <c r="A6" s="1077" t="s">
        <v>52</v>
      </c>
      <c r="B6" s="163" t="s">
        <v>400</v>
      </c>
      <c r="C6" s="1017">
        <v>952</v>
      </c>
      <c r="D6" s="1018"/>
      <c r="E6" s="1019"/>
      <c r="F6" s="1026">
        <v>878</v>
      </c>
      <c r="G6" s="1021"/>
      <c r="H6" s="1021"/>
      <c r="I6" s="171">
        <v>0</v>
      </c>
      <c r="J6" s="1026">
        <v>530</v>
      </c>
      <c r="K6" s="1021"/>
      <c r="L6" s="1021"/>
      <c r="M6" s="171">
        <v>-0.01</v>
      </c>
      <c r="N6" s="1026">
        <v>4456</v>
      </c>
      <c r="O6" s="1021"/>
      <c r="P6" s="1021"/>
      <c r="Q6" s="171">
        <v>0.04</v>
      </c>
      <c r="R6" s="1026">
        <v>850</v>
      </c>
      <c r="S6" s="1021"/>
      <c r="T6" s="1021"/>
      <c r="U6" s="171">
        <v>0</v>
      </c>
      <c r="V6" s="1100">
        <v>330</v>
      </c>
      <c r="W6" s="1083"/>
      <c r="X6" s="1083"/>
      <c r="Y6" s="171">
        <v>-0.02</v>
      </c>
    </row>
    <row r="7" spans="1:25" ht="13.5" customHeight="1">
      <c r="A7" s="1077"/>
      <c r="B7" s="163" t="s">
        <v>135</v>
      </c>
      <c r="C7" s="1080">
        <v>33</v>
      </c>
      <c r="D7" s="1044"/>
      <c r="E7" s="1045"/>
      <c r="F7" s="1026">
        <v>15</v>
      </c>
      <c r="G7" s="1021"/>
      <c r="H7" s="1021"/>
      <c r="I7" s="171">
        <v>-0.01</v>
      </c>
      <c r="J7" s="1026">
        <v>22</v>
      </c>
      <c r="K7" s="1021"/>
      <c r="L7" s="1021"/>
      <c r="M7" s="171">
        <v>-0.01</v>
      </c>
      <c r="N7" s="1026">
        <v>57</v>
      </c>
      <c r="O7" s="1021"/>
      <c r="P7" s="1021"/>
      <c r="Q7" s="171">
        <v>0.01</v>
      </c>
      <c r="R7" s="1026">
        <v>60</v>
      </c>
      <c r="S7" s="1021"/>
      <c r="T7" s="1021"/>
      <c r="U7" s="171">
        <v>0.02</v>
      </c>
      <c r="V7" s="1100">
        <v>15</v>
      </c>
      <c r="W7" s="1083"/>
      <c r="X7" s="1083"/>
      <c r="Y7" s="171">
        <v>-0.01</v>
      </c>
    </row>
    <row r="8" spans="1:25" ht="13.5" customHeight="1">
      <c r="A8" s="1077"/>
      <c r="B8" s="163" t="s">
        <v>136</v>
      </c>
      <c r="C8" s="1080">
        <v>29</v>
      </c>
      <c r="D8" s="1044"/>
      <c r="E8" s="1045"/>
      <c r="F8" s="1026">
        <v>39</v>
      </c>
      <c r="G8" s="1021"/>
      <c r="H8" s="1021"/>
      <c r="I8" s="171">
        <v>0.01</v>
      </c>
      <c r="J8" s="1026">
        <v>24</v>
      </c>
      <c r="K8" s="1021"/>
      <c r="L8" s="1021"/>
      <c r="M8" s="171">
        <v>0</v>
      </c>
      <c r="N8" s="1026">
        <v>51</v>
      </c>
      <c r="O8" s="1021"/>
      <c r="P8" s="1021"/>
      <c r="Q8" s="171">
        <v>0.01</v>
      </c>
      <c r="R8" s="1026">
        <v>10</v>
      </c>
      <c r="S8" s="1021"/>
      <c r="T8" s="1021"/>
      <c r="U8" s="171">
        <v>-0.02</v>
      </c>
      <c r="V8" s="1100">
        <v>22</v>
      </c>
      <c r="W8" s="1083"/>
      <c r="X8" s="1083"/>
      <c r="Y8" s="171">
        <v>0</v>
      </c>
    </row>
    <row r="9" spans="1:25" ht="13.5" customHeight="1">
      <c r="A9" s="1077"/>
      <c r="B9" s="431" t="s">
        <v>708</v>
      </c>
      <c r="C9" s="1034" t="s">
        <v>54</v>
      </c>
      <c r="D9" s="1035"/>
      <c r="E9" s="1036"/>
      <c r="F9" s="1081" t="s">
        <v>679</v>
      </c>
      <c r="G9" s="1021"/>
      <c r="H9" s="1021"/>
      <c r="I9" s="171">
        <v>0</v>
      </c>
      <c r="J9" s="1020" t="s">
        <v>54</v>
      </c>
      <c r="K9" s="1021"/>
      <c r="L9" s="1021"/>
      <c r="M9" s="171">
        <v>0</v>
      </c>
      <c r="N9" s="1020" t="s">
        <v>55</v>
      </c>
      <c r="O9" s="1021"/>
      <c r="P9" s="1021"/>
      <c r="Q9" s="171">
        <v>-0.02</v>
      </c>
      <c r="R9" s="1020" t="s">
        <v>55</v>
      </c>
      <c r="S9" s="1021"/>
      <c r="T9" s="1021"/>
      <c r="U9" s="171">
        <v>-0.02</v>
      </c>
      <c r="V9" s="1082" t="s">
        <v>422</v>
      </c>
      <c r="W9" s="1083"/>
      <c r="X9" s="1083"/>
      <c r="Y9" s="171">
        <v>0</v>
      </c>
    </row>
    <row r="10" spans="1:25" ht="13.5" customHeight="1">
      <c r="A10" s="1077"/>
      <c r="B10" s="163" t="s">
        <v>137</v>
      </c>
      <c r="C10" s="1043" t="s">
        <v>56</v>
      </c>
      <c r="D10" s="1044"/>
      <c r="E10" s="1045"/>
      <c r="F10" s="1020" t="s">
        <v>56</v>
      </c>
      <c r="G10" s="1021"/>
      <c r="H10" s="1021"/>
      <c r="I10" s="171">
        <v>0</v>
      </c>
      <c r="J10" s="1020" t="s">
        <v>56</v>
      </c>
      <c r="K10" s="1021"/>
      <c r="L10" s="1021"/>
      <c r="M10" s="171">
        <v>0</v>
      </c>
      <c r="N10" s="1020" t="s">
        <v>57</v>
      </c>
      <c r="O10" s="1021"/>
      <c r="P10" s="1021"/>
      <c r="Q10" s="171">
        <v>-0.02</v>
      </c>
      <c r="R10" s="1020" t="s">
        <v>57</v>
      </c>
      <c r="S10" s="1021"/>
      <c r="T10" s="1021"/>
      <c r="U10" s="171">
        <v>-0.02</v>
      </c>
      <c r="V10" s="1082" t="s">
        <v>423</v>
      </c>
      <c r="W10" s="1083"/>
      <c r="X10" s="1083"/>
      <c r="Y10" s="171">
        <v>0</v>
      </c>
    </row>
    <row r="11" spans="1:25" ht="13.5" customHeight="1">
      <c r="A11" s="1077"/>
      <c r="B11" s="163" t="s">
        <v>138</v>
      </c>
      <c r="C11" s="1043" t="s">
        <v>58</v>
      </c>
      <c r="D11" s="1044"/>
      <c r="E11" s="1045"/>
      <c r="F11" s="1020" t="s">
        <v>58</v>
      </c>
      <c r="G11" s="1021"/>
      <c r="H11" s="1021"/>
      <c r="I11" s="172">
        <v>0</v>
      </c>
      <c r="J11" s="1020" t="s">
        <v>59</v>
      </c>
      <c r="K11" s="1021"/>
      <c r="L11" s="1021"/>
      <c r="M11" s="172">
        <v>-0.03</v>
      </c>
      <c r="N11" s="1020" t="s">
        <v>60</v>
      </c>
      <c r="O11" s="1021"/>
      <c r="P11" s="1021"/>
      <c r="Q11" s="172">
        <v>-0.05</v>
      </c>
      <c r="R11" s="1020" t="s">
        <v>58</v>
      </c>
      <c r="S11" s="1021"/>
      <c r="T11" s="1021"/>
      <c r="U11" s="172">
        <v>0</v>
      </c>
      <c r="V11" s="1082" t="s">
        <v>424</v>
      </c>
      <c r="W11" s="1083"/>
      <c r="X11" s="1083"/>
      <c r="Y11" s="172">
        <v>0</v>
      </c>
    </row>
    <row r="12" spans="1:25" ht="13.5" customHeight="1">
      <c r="A12" s="1079" t="s">
        <v>114</v>
      </c>
      <c r="B12" s="163" t="s">
        <v>139</v>
      </c>
      <c r="C12" s="384" t="s">
        <v>61</v>
      </c>
      <c r="D12" s="385"/>
      <c r="E12" s="386"/>
      <c r="F12" s="387" t="s">
        <v>61</v>
      </c>
      <c r="G12" s="388"/>
      <c r="H12" s="389"/>
      <c r="I12" s="390">
        <v>0</v>
      </c>
      <c r="J12" s="387" t="s">
        <v>61</v>
      </c>
      <c r="K12" s="388"/>
      <c r="L12" s="389"/>
      <c r="M12" s="390">
        <v>0</v>
      </c>
      <c r="N12" s="387" t="s">
        <v>7</v>
      </c>
      <c r="O12" s="388"/>
      <c r="P12" s="389"/>
      <c r="Q12" s="390">
        <v>-0.01</v>
      </c>
      <c r="R12" s="387" t="s">
        <v>7</v>
      </c>
      <c r="S12" s="388"/>
      <c r="T12" s="389"/>
      <c r="U12" s="390">
        <v>-0.01</v>
      </c>
      <c r="V12" s="387" t="s">
        <v>61</v>
      </c>
      <c r="W12" s="388"/>
      <c r="X12" s="389"/>
      <c r="Y12" s="390">
        <v>0</v>
      </c>
    </row>
    <row r="13" spans="1:25" ht="13.5" customHeight="1">
      <c r="A13" s="1079"/>
      <c r="B13" s="163" t="s">
        <v>140</v>
      </c>
      <c r="C13" s="165"/>
      <c r="D13" s="164">
        <v>6</v>
      </c>
      <c r="E13" s="166" t="s">
        <v>158</v>
      </c>
      <c r="F13" s="174"/>
      <c r="G13" s="173">
        <v>6</v>
      </c>
      <c r="H13" s="175" t="s">
        <v>158</v>
      </c>
      <c r="I13" s="171">
        <v>0</v>
      </c>
      <c r="J13" s="174"/>
      <c r="K13" s="173">
        <v>6</v>
      </c>
      <c r="L13" s="175" t="s">
        <v>158</v>
      </c>
      <c r="M13" s="171">
        <v>0</v>
      </c>
      <c r="N13" s="174"/>
      <c r="O13" s="178" t="s">
        <v>430</v>
      </c>
      <c r="P13" s="175" t="s">
        <v>158</v>
      </c>
      <c r="Q13" s="171">
        <v>-0.01</v>
      </c>
      <c r="R13" s="174"/>
      <c r="S13" s="178" t="s">
        <v>430</v>
      </c>
      <c r="T13" s="175" t="s">
        <v>158</v>
      </c>
      <c r="U13" s="171">
        <v>-0.01</v>
      </c>
      <c r="V13" s="180"/>
      <c r="W13" s="179">
        <v>6</v>
      </c>
      <c r="X13" s="181" t="s">
        <v>426</v>
      </c>
      <c r="Y13" s="171">
        <v>0</v>
      </c>
    </row>
    <row r="14" spans="1:25" ht="13.5" customHeight="1">
      <c r="A14" s="1077" t="s">
        <v>63</v>
      </c>
      <c r="B14" s="163" t="s">
        <v>141</v>
      </c>
      <c r="C14" s="167" t="s">
        <v>53</v>
      </c>
      <c r="D14" s="164" t="s">
        <v>53</v>
      </c>
      <c r="E14" s="166" t="s">
        <v>62</v>
      </c>
      <c r="F14" s="176" t="s">
        <v>53</v>
      </c>
      <c r="G14" s="173" t="s">
        <v>53</v>
      </c>
      <c r="H14" s="175" t="s">
        <v>62</v>
      </c>
      <c r="I14" s="203" t="s">
        <v>458</v>
      </c>
      <c r="J14" s="176" t="s">
        <v>53</v>
      </c>
      <c r="K14" s="173" t="s">
        <v>53</v>
      </c>
      <c r="L14" s="175" t="s">
        <v>62</v>
      </c>
      <c r="M14" s="203" t="s">
        <v>458</v>
      </c>
      <c r="N14" s="176" t="s">
        <v>53</v>
      </c>
      <c r="O14" s="173" t="s">
        <v>53</v>
      </c>
      <c r="P14" s="175" t="s">
        <v>62</v>
      </c>
      <c r="Q14" s="203" t="s">
        <v>458</v>
      </c>
      <c r="R14" s="176" t="s">
        <v>53</v>
      </c>
      <c r="S14" s="173" t="s">
        <v>53</v>
      </c>
      <c r="T14" s="175" t="s">
        <v>62</v>
      </c>
      <c r="U14" s="203" t="s">
        <v>458</v>
      </c>
      <c r="V14" s="182" t="s">
        <v>425</v>
      </c>
      <c r="W14" s="179" t="s">
        <v>425</v>
      </c>
      <c r="X14" s="181" t="s">
        <v>426</v>
      </c>
      <c r="Y14" s="203" t="s">
        <v>458</v>
      </c>
    </row>
    <row r="15" spans="1:25" ht="13.5" customHeight="1">
      <c r="A15" s="1077"/>
      <c r="B15" s="163" t="s">
        <v>142</v>
      </c>
      <c r="C15" s="167" t="s">
        <v>64</v>
      </c>
      <c r="D15" s="164">
        <v>1050</v>
      </c>
      <c r="E15" s="166" t="s">
        <v>62</v>
      </c>
      <c r="F15" s="176" t="s">
        <v>5</v>
      </c>
      <c r="G15" s="173">
        <v>1055</v>
      </c>
      <c r="H15" s="175" t="s">
        <v>62</v>
      </c>
      <c r="I15" s="171">
        <v>0</v>
      </c>
      <c r="J15" s="176" t="s">
        <v>5</v>
      </c>
      <c r="K15" s="173">
        <v>1045</v>
      </c>
      <c r="L15" s="175" t="s">
        <v>62</v>
      </c>
      <c r="M15" s="171">
        <v>0</v>
      </c>
      <c r="N15" s="176" t="s">
        <v>5</v>
      </c>
      <c r="O15" s="173">
        <v>1060</v>
      </c>
      <c r="P15" s="175" t="s">
        <v>62</v>
      </c>
      <c r="Q15" s="171">
        <v>0</v>
      </c>
      <c r="R15" s="176" t="s">
        <v>5</v>
      </c>
      <c r="S15" s="173">
        <v>1010</v>
      </c>
      <c r="T15" s="175" t="s">
        <v>62</v>
      </c>
      <c r="U15" s="171">
        <v>0</v>
      </c>
      <c r="V15" s="182" t="s">
        <v>5</v>
      </c>
      <c r="W15" s="179">
        <v>1030</v>
      </c>
      <c r="X15" s="181" t="s">
        <v>426</v>
      </c>
      <c r="Y15" s="171">
        <v>0</v>
      </c>
    </row>
    <row r="16" spans="1:25" ht="13.5" customHeight="1">
      <c r="A16" s="1077"/>
      <c r="B16" s="163" t="s">
        <v>143</v>
      </c>
      <c r="C16" s="167" t="s">
        <v>53</v>
      </c>
      <c r="D16" s="164" t="s">
        <v>53</v>
      </c>
      <c r="E16" s="166" t="s">
        <v>62</v>
      </c>
      <c r="F16" s="176" t="s">
        <v>53</v>
      </c>
      <c r="G16" s="173" t="s">
        <v>53</v>
      </c>
      <c r="H16" s="175" t="s">
        <v>62</v>
      </c>
      <c r="I16" s="203" t="s">
        <v>458</v>
      </c>
      <c r="J16" s="176" t="s">
        <v>53</v>
      </c>
      <c r="K16" s="173" t="s">
        <v>53</v>
      </c>
      <c r="L16" s="175" t="s">
        <v>62</v>
      </c>
      <c r="M16" s="203" t="s">
        <v>458</v>
      </c>
      <c r="N16" s="176" t="s">
        <v>53</v>
      </c>
      <c r="O16" s="173" t="s">
        <v>53</v>
      </c>
      <c r="P16" s="175" t="s">
        <v>62</v>
      </c>
      <c r="Q16" s="203" t="s">
        <v>458</v>
      </c>
      <c r="R16" s="176" t="s">
        <v>53</v>
      </c>
      <c r="S16" s="173" t="s">
        <v>53</v>
      </c>
      <c r="T16" s="175" t="s">
        <v>62</v>
      </c>
      <c r="U16" s="203" t="s">
        <v>458</v>
      </c>
      <c r="V16" s="182" t="s">
        <v>425</v>
      </c>
      <c r="W16" s="179" t="s">
        <v>425</v>
      </c>
      <c r="X16" s="181" t="s">
        <v>426</v>
      </c>
      <c r="Y16" s="203" t="s">
        <v>458</v>
      </c>
    </row>
    <row r="17" spans="1:31" ht="13.5" customHeight="1">
      <c r="A17" s="1077"/>
      <c r="B17" s="163" t="s">
        <v>144</v>
      </c>
      <c r="C17" s="167" t="s">
        <v>65</v>
      </c>
      <c r="D17" s="164">
        <v>1000</v>
      </c>
      <c r="E17" s="166" t="s">
        <v>62</v>
      </c>
      <c r="F17" s="176" t="s">
        <v>65</v>
      </c>
      <c r="G17" s="173">
        <v>1005</v>
      </c>
      <c r="H17" s="175" t="s">
        <v>62</v>
      </c>
      <c r="I17" s="171">
        <v>0</v>
      </c>
      <c r="J17" s="176" t="s">
        <v>65</v>
      </c>
      <c r="K17" s="173">
        <v>995</v>
      </c>
      <c r="L17" s="175" t="s">
        <v>62</v>
      </c>
      <c r="M17" s="171">
        <v>0</v>
      </c>
      <c r="N17" s="176" t="s">
        <v>65</v>
      </c>
      <c r="O17" s="173">
        <v>1010</v>
      </c>
      <c r="P17" s="175" t="s">
        <v>62</v>
      </c>
      <c r="Q17" s="171">
        <v>0</v>
      </c>
      <c r="R17" s="176" t="s">
        <v>65</v>
      </c>
      <c r="S17" s="173">
        <v>960</v>
      </c>
      <c r="T17" s="175" t="s">
        <v>62</v>
      </c>
      <c r="U17" s="171">
        <v>0</v>
      </c>
      <c r="V17" s="182" t="s">
        <v>427</v>
      </c>
      <c r="W17" s="179">
        <v>980</v>
      </c>
      <c r="X17" s="181" t="s">
        <v>426</v>
      </c>
      <c r="Y17" s="171">
        <v>0</v>
      </c>
    </row>
    <row r="18" spans="1:31" ht="13.5" customHeight="1">
      <c r="A18" s="1077"/>
      <c r="B18" s="163" t="s">
        <v>145</v>
      </c>
      <c r="C18" s="167" t="s">
        <v>53</v>
      </c>
      <c r="D18" s="164" t="s">
        <v>53</v>
      </c>
      <c r="E18" s="166" t="s">
        <v>62</v>
      </c>
      <c r="F18" s="176" t="s">
        <v>53</v>
      </c>
      <c r="G18" s="173" t="s">
        <v>53</v>
      </c>
      <c r="H18" s="175" t="s">
        <v>62</v>
      </c>
      <c r="I18" s="203" t="s">
        <v>458</v>
      </c>
      <c r="J18" s="176" t="s">
        <v>53</v>
      </c>
      <c r="K18" s="173" t="s">
        <v>53</v>
      </c>
      <c r="L18" s="175" t="s">
        <v>62</v>
      </c>
      <c r="M18" s="203" t="s">
        <v>458</v>
      </c>
      <c r="N18" s="176" t="s">
        <v>53</v>
      </c>
      <c r="O18" s="173" t="s">
        <v>53</v>
      </c>
      <c r="P18" s="175" t="s">
        <v>62</v>
      </c>
      <c r="Q18" s="203" t="s">
        <v>458</v>
      </c>
      <c r="R18" s="176" t="s">
        <v>53</v>
      </c>
      <c r="S18" s="173" t="s">
        <v>53</v>
      </c>
      <c r="T18" s="175" t="s">
        <v>62</v>
      </c>
      <c r="U18" s="203" t="s">
        <v>458</v>
      </c>
      <c r="V18" s="182" t="s">
        <v>425</v>
      </c>
      <c r="W18" s="179" t="s">
        <v>425</v>
      </c>
      <c r="X18" s="181" t="s">
        <v>426</v>
      </c>
      <c r="Y18" s="203" t="s">
        <v>458</v>
      </c>
    </row>
    <row r="19" spans="1:31" ht="15.75" customHeight="1">
      <c r="A19" s="1078" t="s">
        <v>66</v>
      </c>
      <c r="B19" s="163" t="s">
        <v>146</v>
      </c>
      <c r="C19" s="168" t="s">
        <v>67</v>
      </c>
      <c r="D19" s="164">
        <v>2500</v>
      </c>
      <c r="E19" s="166" t="s">
        <v>62</v>
      </c>
      <c r="F19" s="177" t="s">
        <v>67</v>
      </c>
      <c r="G19" s="173">
        <v>2400</v>
      </c>
      <c r="H19" s="175" t="s">
        <v>62</v>
      </c>
      <c r="I19" s="172">
        <v>0</v>
      </c>
      <c r="J19" s="177" t="s">
        <v>67</v>
      </c>
      <c r="K19" s="173">
        <v>2450</v>
      </c>
      <c r="L19" s="175" t="s">
        <v>62</v>
      </c>
      <c r="M19" s="172">
        <v>0</v>
      </c>
      <c r="N19" s="177" t="s">
        <v>67</v>
      </c>
      <c r="O19" s="173">
        <v>3000</v>
      </c>
      <c r="P19" s="175" t="s">
        <v>62</v>
      </c>
      <c r="Q19" s="172">
        <v>0.02</v>
      </c>
      <c r="R19" s="177" t="s">
        <v>67</v>
      </c>
      <c r="S19" s="173">
        <v>2480</v>
      </c>
      <c r="T19" s="175" t="s">
        <v>62</v>
      </c>
      <c r="U19" s="172">
        <v>0</v>
      </c>
      <c r="V19" s="183" t="s">
        <v>428</v>
      </c>
      <c r="W19" s="179">
        <v>2495</v>
      </c>
      <c r="X19" s="181" t="s">
        <v>426</v>
      </c>
      <c r="Y19" s="172">
        <v>0</v>
      </c>
      <c r="AB19" s="1">
        <v>99.13</v>
      </c>
      <c r="AC19" s="1">
        <f>ROUNDUP(AB19,0)</f>
        <v>100</v>
      </c>
      <c r="AE19" s="1" t="e">
        <f>IF(F$27&gt;100000,ROUNDUP(F$27,-3),IF(F$27&gt;1000,ROUNDUP(F$27,-2),IF(F$27&gt;100,ROUNDUP(F$27,-1),ROUNDUP(F$27,0))))</f>
        <v>#REF!</v>
      </c>
    </row>
    <row r="20" spans="1:31" ht="17.25" customHeight="1">
      <c r="A20" s="1078"/>
      <c r="B20" s="163" t="s">
        <v>147</v>
      </c>
      <c r="C20" s="1043" t="s">
        <v>53</v>
      </c>
      <c r="D20" s="1044"/>
      <c r="E20" s="1045"/>
      <c r="F20" s="1020" t="s">
        <v>53</v>
      </c>
      <c r="G20" s="1021"/>
      <c r="H20" s="1021"/>
      <c r="I20" s="202" t="s">
        <v>458</v>
      </c>
      <c r="J20" s="1020" t="s">
        <v>53</v>
      </c>
      <c r="K20" s="1021"/>
      <c r="L20" s="1021"/>
      <c r="M20" s="203" t="s">
        <v>458</v>
      </c>
      <c r="N20" s="1020" t="s">
        <v>53</v>
      </c>
      <c r="O20" s="1021"/>
      <c r="P20" s="1021"/>
      <c r="Q20" s="203" t="s">
        <v>458</v>
      </c>
      <c r="R20" s="1020" t="s">
        <v>53</v>
      </c>
      <c r="S20" s="1021"/>
      <c r="T20" s="1021"/>
      <c r="U20" s="203" t="s">
        <v>458</v>
      </c>
      <c r="V20" s="1082" t="s">
        <v>425</v>
      </c>
      <c r="W20" s="1083"/>
      <c r="X20" s="1083"/>
      <c r="Y20" s="203" t="s">
        <v>458</v>
      </c>
      <c r="AB20" s="1">
        <v>811</v>
      </c>
      <c r="AC20" s="1">
        <f>ROUNDUP(AB20,-1)</f>
        <v>820</v>
      </c>
      <c r="AE20" s="1">
        <f>IF(AB20&gt;100000,ROUNDUP(AB20,-3),IF(AB20&gt;1000,ROUNDUP(AB20,-2),IF(AB20&gt;100,ROUNDUP(AB20,-1),ROUNDUP(AB20,0))))</f>
        <v>820</v>
      </c>
    </row>
    <row r="21" spans="1:31" ht="13.5" customHeight="1">
      <c r="A21" s="1077" t="s">
        <v>68</v>
      </c>
      <c r="B21" s="169" t="s">
        <v>148</v>
      </c>
      <c r="C21" s="1043" t="s">
        <v>69</v>
      </c>
      <c r="D21" s="1044"/>
      <c r="E21" s="1045"/>
      <c r="F21" s="1020" t="s">
        <v>69</v>
      </c>
      <c r="G21" s="1021"/>
      <c r="H21" s="1021"/>
      <c r="I21" s="172">
        <v>0</v>
      </c>
      <c r="J21" s="1020" t="s">
        <v>69</v>
      </c>
      <c r="K21" s="1021"/>
      <c r="L21" s="1021"/>
      <c r="M21" s="172">
        <v>0</v>
      </c>
      <c r="N21" s="1020" t="s">
        <v>70</v>
      </c>
      <c r="O21" s="1021"/>
      <c r="P21" s="1021"/>
      <c r="Q21" s="172">
        <v>-0.03</v>
      </c>
      <c r="R21" s="1020" t="s">
        <v>69</v>
      </c>
      <c r="S21" s="1021"/>
      <c r="T21" s="1021"/>
      <c r="U21" s="172">
        <v>0</v>
      </c>
      <c r="V21" s="1082" t="s">
        <v>429</v>
      </c>
      <c r="W21" s="1083"/>
      <c r="X21" s="1083"/>
      <c r="Y21" s="172">
        <v>0</v>
      </c>
      <c r="AB21" s="1">
        <v>11111</v>
      </c>
      <c r="AC21" s="1">
        <f>ROUNDUP(AB21,-2)</f>
        <v>11200</v>
      </c>
      <c r="AE21" s="1">
        <f>IF(AB21&gt;100000,ROUNDUP(AB21,-3),IF(AB21&gt;1000,ROUNDUP(AB21,-2),IF(AB21&gt;100,ROUNDUP(AB21,-1),ROUNDUP(AB21,0))))</f>
        <v>11200</v>
      </c>
    </row>
    <row r="22" spans="1:31" ht="13.5" customHeight="1">
      <c r="A22" s="1077"/>
      <c r="B22" s="169" t="s">
        <v>149</v>
      </c>
      <c r="C22" s="1043" t="s">
        <v>53</v>
      </c>
      <c r="D22" s="1044"/>
      <c r="E22" s="1045"/>
      <c r="F22" s="1020" t="s">
        <v>53</v>
      </c>
      <c r="G22" s="1021"/>
      <c r="H22" s="1021"/>
      <c r="I22" s="203" t="s">
        <v>458</v>
      </c>
      <c r="J22" s="1020" t="s">
        <v>53</v>
      </c>
      <c r="K22" s="1021"/>
      <c r="L22" s="1021"/>
      <c r="M22" s="203" t="s">
        <v>458</v>
      </c>
      <c r="N22" s="1020" t="s">
        <v>53</v>
      </c>
      <c r="O22" s="1021"/>
      <c r="P22" s="1021"/>
      <c r="Q22" s="203" t="s">
        <v>458</v>
      </c>
      <c r="R22" s="1020" t="s">
        <v>53</v>
      </c>
      <c r="S22" s="1021"/>
      <c r="T22" s="1021"/>
      <c r="U22" s="203" t="s">
        <v>458</v>
      </c>
      <c r="V22" s="1082" t="s">
        <v>425</v>
      </c>
      <c r="W22" s="1083"/>
      <c r="X22" s="1083"/>
      <c r="Y22" s="203" t="s">
        <v>458</v>
      </c>
      <c r="AB22" s="1">
        <v>1111111</v>
      </c>
      <c r="AC22" s="1">
        <f>ROUNDUP(AB22,-3)</f>
        <v>1112000</v>
      </c>
      <c r="AE22" s="1">
        <f>IF(AB22&gt;100000,ROUNDUP(AB22,-3),IF(AB22&gt;1000,ROUNDUP(AB22,-2),IF(AB22&gt;100,ROUNDUP(AB22,-1),ROUNDUP(AB22,0))))</f>
        <v>1112000</v>
      </c>
    </row>
    <row r="23" spans="1:31" ht="13.5" customHeight="1">
      <c r="A23" s="1077"/>
      <c r="B23" s="169" t="s">
        <v>150</v>
      </c>
      <c r="C23" s="1043" t="s">
        <v>53</v>
      </c>
      <c r="D23" s="1044"/>
      <c r="E23" s="1045"/>
      <c r="F23" s="1020" t="s">
        <v>53</v>
      </c>
      <c r="G23" s="1021"/>
      <c r="H23" s="1021"/>
      <c r="I23" s="203" t="s">
        <v>458</v>
      </c>
      <c r="J23" s="1020" t="s">
        <v>53</v>
      </c>
      <c r="K23" s="1021"/>
      <c r="L23" s="1021"/>
      <c r="M23" s="203" t="s">
        <v>458</v>
      </c>
      <c r="N23" s="1020" t="s">
        <v>53</v>
      </c>
      <c r="O23" s="1021"/>
      <c r="P23" s="1021"/>
      <c r="Q23" s="203" t="s">
        <v>458</v>
      </c>
      <c r="R23" s="1020" t="s">
        <v>53</v>
      </c>
      <c r="S23" s="1021"/>
      <c r="T23" s="1021"/>
      <c r="U23" s="203" t="s">
        <v>458</v>
      </c>
      <c r="V23" s="1082" t="s">
        <v>425</v>
      </c>
      <c r="W23" s="1083"/>
      <c r="X23" s="1083"/>
      <c r="Y23" s="203" t="s">
        <v>458</v>
      </c>
    </row>
    <row r="24" spans="1:31" ht="13.5" customHeight="1">
      <c r="A24" s="1077"/>
      <c r="B24" s="169" t="s">
        <v>151</v>
      </c>
      <c r="C24" s="1043" t="s">
        <v>53</v>
      </c>
      <c r="D24" s="1044"/>
      <c r="E24" s="1045"/>
      <c r="F24" s="1020" t="s">
        <v>53</v>
      </c>
      <c r="G24" s="1021"/>
      <c r="H24" s="1021"/>
      <c r="I24" s="203" t="s">
        <v>458</v>
      </c>
      <c r="J24" s="1020" t="s">
        <v>53</v>
      </c>
      <c r="K24" s="1021"/>
      <c r="L24" s="1021"/>
      <c r="M24" s="203" t="s">
        <v>458</v>
      </c>
      <c r="N24" s="1020" t="s">
        <v>53</v>
      </c>
      <c r="O24" s="1021"/>
      <c r="P24" s="1021"/>
      <c r="Q24" s="203" t="s">
        <v>458</v>
      </c>
      <c r="R24" s="1020" t="s">
        <v>53</v>
      </c>
      <c r="S24" s="1021"/>
      <c r="T24" s="1021"/>
      <c r="U24" s="203" t="s">
        <v>458</v>
      </c>
      <c r="V24" s="1082" t="s">
        <v>425</v>
      </c>
      <c r="W24" s="1083"/>
      <c r="X24" s="1083"/>
      <c r="Y24" s="203" t="s">
        <v>458</v>
      </c>
    </row>
    <row r="25" spans="1:31" ht="13.5" customHeight="1">
      <c r="A25" s="400" t="s">
        <v>695</v>
      </c>
      <c r="B25" s="170"/>
      <c r="C25" s="1043" t="s">
        <v>8</v>
      </c>
      <c r="D25" s="1044"/>
      <c r="E25" s="1045"/>
      <c r="F25" s="1020" t="s">
        <v>8</v>
      </c>
      <c r="G25" s="1021"/>
      <c r="H25" s="1021"/>
      <c r="I25" s="203" t="s">
        <v>458</v>
      </c>
      <c r="J25" s="1020" t="s">
        <v>8</v>
      </c>
      <c r="K25" s="1021"/>
      <c r="L25" s="1021"/>
      <c r="M25" s="203" t="s">
        <v>458</v>
      </c>
      <c r="N25" s="1020" t="s">
        <v>8</v>
      </c>
      <c r="O25" s="1021"/>
      <c r="P25" s="1021"/>
      <c r="Q25" s="203" t="s">
        <v>458</v>
      </c>
      <c r="R25" s="1020" t="s">
        <v>8</v>
      </c>
      <c r="S25" s="1021"/>
      <c r="T25" s="1021"/>
      <c r="U25" s="203" t="s">
        <v>458</v>
      </c>
      <c r="V25" s="1082" t="s">
        <v>8</v>
      </c>
      <c r="W25" s="1083"/>
      <c r="X25" s="1083"/>
      <c r="Y25" s="203" t="s">
        <v>458</v>
      </c>
    </row>
    <row r="26" spans="1:31" ht="13.5" customHeight="1">
      <c r="A26" s="1097" t="s">
        <v>71</v>
      </c>
      <c r="B26" s="1098"/>
      <c r="C26" s="1098"/>
      <c r="D26" s="1098"/>
      <c r="E26" s="1099"/>
      <c r="F26" s="1084">
        <f>SUM(I6:I25)</f>
        <v>0</v>
      </c>
      <c r="G26" s="1085"/>
      <c r="H26" s="1085"/>
      <c r="I26" s="1086"/>
      <c r="J26" s="1084">
        <f>SUM(M6:M25)</f>
        <v>-0.05</v>
      </c>
      <c r="K26" s="1085"/>
      <c r="L26" s="1085"/>
      <c r="M26" s="1086"/>
      <c r="N26" s="1084">
        <f>SUM(Q6:Q25)</f>
        <v>-0.06</v>
      </c>
      <c r="O26" s="1085"/>
      <c r="P26" s="1085"/>
      <c r="Q26" s="1086"/>
      <c r="R26" s="1084">
        <f>SUM(U6:U25)</f>
        <v>-6.0000000000000005E-2</v>
      </c>
      <c r="S26" s="1085"/>
      <c r="T26" s="1085"/>
      <c r="U26" s="1086"/>
      <c r="V26" s="1084">
        <f>SUM(Y6:Y25)</f>
        <v>-0.03</v>
      </c>
      <c r="W26" s="1085"/>
      <c r="X26" s="1085"/>
      <c r="Y26" s="1086"/>
    </row>
    <row r="27" spans="1:31" ht="18.75" customHeight="1">
      <c r="A27" s="1090" t="s">
        <v>72</v>
      </c>
      <c r="B27" s="1091"/>
      <c r="C27" s="1092"/>
      <c r="D27" s="1092"/>
      <c r="E27" s="1093"/>
      <c r="F27" s="1094" t="e">
        <f>ROUND($C$5*(1+F26),0)</f>
        <v>#REF!</v>
      </c>
      <c r="G27" s="1095"/>
      <c r="H27" s="1095"/>
      <c r="I27" s="1096"/>
      <c r="J27" s="1094" t="e">
        <f>ROUND($C$5*(1+J26),0)</f>
        <v>#REF!</v>
      </c>
      <c r="K27" s="1095" t="e">
        <f>IF(AND(#REF!=0,#REF!=0,#REF!=0,#REF!=0,#REF!=0),1,2)</f>
        <v>#REF!</v>
      </c>
      <c r="L27" s="1095"/>
      <c r="M27" s="1096"/>
      <c r="N27" s="1094" t="e">
        <f>ROUND($C$5*(1+N26),0)</f>
        <v>#REF!</v>
      </c>
      <c r="O27" s="1095" t="e">
        <f>IF(AND(#REF!=0,#REF!=0,#REF!=0,#REF!=0,#REF!=0),1,2)</f>
        <v>#REF!</v>
      </c>
      <c r="P27" s="1095"/>
      <c r="Q27" s="1096"/>
      <c r="R27" s="1094" t="e">
        <f>ROUND($C$5*(1+R26),0)</f>
        <v>#REF!</v>
      </c>
      <c r="S27" s="1095" t="e">
        <f>IF(AND(#REF!=0,#REF!=0,#REF!=0,#REF!=0,#REF!=0),1,2)</f>
        <v>#REF!</v>
      </c>
      <c r="T27" s="1095"/>
      <c r="U27" s="1096"/>
      <c r="V27" s="1094" t="e">
        <f>ROUND($C$5*(1+V26),0)</f>
        <v>#REF!</v>
      </c>
      <c r="W27" s="1095"/>
      <c r="X27" s="1095"/>
      <c r="Y27" s="1096"/>
    </row>
    <row r="28" spans="1:31" ht="18.75" customHeight="1">
      <c r="A28" s="1046" t="s">
        <v>73</v>
      </c>
      <c r="B28" s="1047"/>
      <c r="C28" s="1048"/>
      <c r="D28" s="1048"/>
      <c r="E28" s="1049"/>
      <c r="F28" s="1050" t="e">
        <f>IF(F$27&gt;100000,ROUNDUP(F$27,-3),IF(F$27&gt;1000,ROUNDUP(F$27,-2),IF(F$27&gt;100,ROUNDUP(F$27,-1),ROUNDUP(F$27,0))))</f>
        <v>#REF!</v>
      </c>
      <c r="G28" s="1051"/>
      <c r="H28" s="1051"/>
      <c r="I28" s="1052"/>
      <c r="J28" s="1050" t="e">
        <f>IF(J$27&gt;100000,ROUNDUP(J$27,-3),IF(J$27&gt;1000,ROUNDUP(J$27,-2),IF(J$27&gt;100,ROUNDUP(J$27,-1),ROUNDUP(J$27,0))))</f>
        <v>#REF!</v>
      </c>
      <c r="K28" s="1051"/>
      <c r="L28" s="1051"/>
      <c r="M28" s="1052"/>
      <c r="N28" s="1050" t="e">
        <f>IF(N$27&gt;100000,ROUNDUP(N$27,-3),IF(N$27&gt;1000,ROUNDUP(N$27,-2),IF(N$27&gt;100,ROUNDUP(N$27,-1),ROUNDUP(N$27,0))))</f>
        <v>#REF!</v>
      </c>
      <c r="O28" s="1051"/>
      <c r="P28" s="1051"/>
      <c r="Q28" s="1052"/>
      <c r="R28" s="1050" t="e">
        <f>IF(R$27&gt;100000,ROUNDUP(R$27,-3),IF(R$27&gt;1000,ROUNDUP(R$27,-2),IF(R$27&gt;100,ROUNDUP(R$27,-1),ROUNDUP(R$27,0))))</f>
        <v>#REF!</v>
      </c>
      <c r="S28" s="1051"/>
      <c r="T28" s="1051"/>
      <c r="U28" s="1052"/>
      <c r="V28" s="1050" t="e">
        <f>IF(V$27&gt;100000,ROUNDUP(V$27,-3),IF(V$27&gt;1000,ROUNDUP(V$27,-2),IF(V$27&gt;100,ROUNDUP(V$27,-1),ROUNDUP(V$27,0))))</f>
        <v>#REF!</v>
      </c>
      <c r="W28" s="1051"/>
      <c r="X28" s="1051"/>
      <c r="Y28" s="1052"/>
    </row>
    <row r="29" spans="1:31" ht="42" customHeight="1">
      <c r="A29" s="1040" t="s">
        <v>393</v>
      </c>
      <c r="B29" s="162" t="s">
        <v>394</v>
      </c>
      <c r="C29" s="1042"/>
      <c r="D29" s="1042"/>
      <c r="E29" s="1042"/>
      <c r="F29" s="1042"/>
      <c r="G29" s="1042"/>
      <c r="H29" s="1042"/>
      <c r="I29" s="1042"/>
      <c r="J29" s="1042"/>
      <c r="K29" s="1042"/>
      <c r="L29" s="1042"/>
      <c r="M29" s="1042"/>
      <c r="N29" s="1042"/>
      <c r="O29" s="1042"/>
      <c r="P29" s="1042"/>
      <c r="Q29" s="1042"/>
      <c r="R29" s="1042"/>
      <c r="S29" s="1042"/>
      <c r="T29" s="1042"/>
      <c r="U29" s="1042"/>
      <c r="V29" s="1042"/>
      <c r="W29" s="1042"/>
      <c r="X29" s="1042"/>
      <c r="Y29" s="1042"/>
    </row>
    <row r="30" spans="1:31" ht="30" customHeight="1">
      <c r="A30" s="1041"/>
      <c r="B30" s="162" t="s">
        <v>395</v>
      </c>
      <c r="C30" s="1087"/>
      <c r="D30" s="1088"/>
      <c r="E30" s="1088"/>
      <c r="F30" s="1088"/>
      <c r="G30" s="1088"/>
      <c r="H30" s="1088"/>
      <c r="I30" s="1088"/>
      <c r="J30" s="1088"/>
      <c r="K30" s="1088"/>
      <c r="L30" s="1088"/>
      <c r="M30" s="1088"/>
      <c r="N30" s="1088"/>
      <c r="O30" s="1088"/>
      <c r="P30" s="1088"/>
      <c r="Q30" s="1088"/>
      <c r="R30" s="1088"/>
      <c r="S30" s="1088"/>
      <c r="T30" s="1088"/>
      <c r="U30" s="1088"/>
      <c r="V30" s="1088"/>
      <c r="W30" s="1088"/>
      <c r="X30" s="1088"/>
      <c r="Y30" s="1089"/>
    </row>
    <row r="31" spans="1:31" ht="19.5" customHeight="1">
      <c r="A31" s="1037" t="s">
        <v>663</v>
      </c>
      <c r="B31" s="1038"/>
      <c r="C31" s="1039"/>
      <c r="D31" s="1039"/>
      <c r="E31" s="1039"/>
      <c r="F31" s="1039"/>
      <c r="G31" s="1039"/>
      <c r="H31" s="1039"/>
      <c r="I31" s="1039"/>
      <c r="J31" s="1039"/>
      <c r="K31" s="1039"/>
      <c r="L31" s="1039"/>
      <c r="M31" s="1039"/>
      <c r="N31" s="1039"/>
      <c r="O31" s="1039"/>
      <c r="P31" s="1039"/>
      <c r="Q31" s="1039"/>
      <c r="R31" s="1039"/>
      <c r="S31" s="1039"/>
      <c r="T31" s="1039"/>
      <c r="U31" s="1039"/>
      <c r="V31" s="1039"/>
      <c r="W31" s="1039"/>
      <c r="X31" s="1039"/>
      <c r="Y31" s="1039"/>
    </row>
    <row r="32" spans="1:31" ht="19.5" customHeight="1">
      <c r="A32" s="149"/>
      <c r="B32" s="371"/>
      <c r="C32" s="371"/>
      <c r="D32" s="371"/>
      <c r="E32" s="371"/>
      <c r="F32" s="371"/>
      <c r="G32" s="371"/>
      <c r="H32" s="371"/>
      <c r="I32" s="371"/>
      <c r="J32" s="371"/>
      <c r="K32" s="371"/>
      <c r="L32" s="371"/>
      <c r="M32" s="1055" t="s">
        <v>664</v>
      </c>
      <c r="N32" s="1056"/>
      <c r="O32" s="1056"/>
      <c r="P32" s="1056"/>
      <c r="Q32" s="1056"/>
      <c r="R32" s="1056"/>
      <c r="S32" s="371"/>
      <c r="T32" s="371"/>
      <c r="U32" s="371"/>
      <c r="V32" s="371"/>
      <c r="W32" s="371"/>
      <c r="X32" s="371"/>
      <c r="Y32" s="371"/>
    </row>
    <row r="33" spans="1:25" ht="19.5" customHeight="1">
      <c r="A33" s="149" t="s">
        <v>739</v>
      </c>
      <c r="B33" s="371"/>
      <c r="C33" s="371"/>
      <c r="D33" s="371"/>
      <c r="E33" s="371"/>
      <c r="F33" s="371"/>
      <c r="G33" s="371"/>
      <c r="H33" s="371"/>
      <c r="I33" s="371"/>
      <c r="J33" s="371"/>
      <c r="K33" s="371"/>
      <c r="L33" s="371"/>
      <c r="M33" s="452"/>
      <c r="N33" s="453"/>
      <c r="O33" s="453"/>
      <c r="P33" s="453"/>
      <c r="Q33" s="453"/>
      <c r="R33" s="453"/>
      <c r="S33" s="371"/>
      <c r="T33" s="371"/>
      <c r="U33" s="371"/>
      <c r="V33" s="371"/>
      <c r="W33" s="371"/>
      <c r="X33" s="371"/>
      <c r="Y33" s="371"/>
    </row>
    <row r="34" spans="1:25" ht="16.5">
      <c r="A34" s="150"/>
      <c r="B34" s="1029" t="s">
        <v>737</v>
      </c>
      <c r="C34" s="1030"/>
      <c r="D34" s="1030"/>
      <c r="E34" s="1030"/>
      <c r="F34" s="1030"/>
      <c r="G34" s="1030"/>
      <c r="H34" s="1030"/>
      <c r="I34" s="1030"/>
      <c r="J34" s="1030"/>
      <c r="K34" s="1030"/>
      <c r="L34" s="1030"/>
      <c r="M34" s="1030"/>
      <c r="N34" s="1030"/>
      <c r="O34" s="1030"/>
      <c r="P34" s="1030"/>
      <c r="Q34" s="1030"/>
      <c r="R34" s="1030"/>
      <c r="S34" s="1030"/>
      <c r="T34" s="1030"/>
      <c r="U34" s="1030"/>
      <c r="V34" s="1030"/>
      <c r="W34" s="1030"/>
      <c r="X34" s="1030"/>
      <c r="Y34" s="1030"/>
    </row>
    <row r="35" spans="1:25" ht="16.5">
      <c r="A35" s="150"/>
      <c r="B35" s="1030"/>
      <c r="C35" s="1030"/>
      <c r="D35" s="1030"/>
      <c r="E35" s="1030"/>
      <c r="F35" s="1030"/>
      <c r="G35" s="1030"/>
      <c r="H35" s="1030"/>
      <c r="I35" s="1030"/>
      <c r="J35" s="1030"/>
      <c r="K35" s="1030"/>
      <c r="L35" s="1030"/>
      <c r="M35" s="1030"/>
      <c r="N35" s="1030"/>
      <c r="O35" s="1030"/>
      <c r="P35" s="1030"/>
      <c r="Q35" s="1030"/>
      <c r="R35" s="1030"/>
      <c r="S35" s="1030"/>
      <c r="T35" s="1030"/>
      <c r="U35" s="1030"/>
      <c r="V35" s="1030"/>
      <c r="W35" s="1030"/>
      <c r="X35" s="1030"/>
      <c r="Y35" s="1030"/>
    </row>
    <row r="36" spans="1:25">
      <c r="B36" s="1027" t="s">
        <v>738</v>
      </c>
      <c r="C36" s="1028"/>
      <c r="D36" s="1028"/>
      <c r="E36" s="1028"/>
      <c r="F36" s="1028"/>
      <c r="G36" s="1028"/>
      <c r="H36" s="1028"/>
      <c r="I36" s="1028"/>
      <c r="J36" s="1028"/>
      <c r="K36" s="1028"/>
      <c r="L36" s="1028"/>
      <c r="M36" s="1028"/>
      <c r="N36" s="1028"/>
      <c r="O36" s="1028"/>
      <c r="P36" s="1028"/>
      <c r="Q36" s="1028"/>
      <c r="R36" s="1028"/>
      <c r="S36" s="1028"/>
      <c r="T36" s="1028"/>
      <c r="U36" s="1028"/>
      <c r="V36" s="1028"/>
      <c r="W36" s="1028"/>
      <c r="X36" s="1028"/>
      <c r="Y36" s="1028"/>
    </row>
  </sheetData>
  <sheetProtection selectLockedCells="1"/>
  <mergeCells count="131">
    <mergeCell ref="F2:H2"/>
    <mergeCell ref="V20:X20"/>
    <mergeCell ref="V11:X11"/>
    <mergeCell ref="V21:X21"/>
    <mergeCell ref="R10:T10"/>
    <mergeCell ref="R11:T11"/>
    <mergeCell ref="R20:T20"/>
    <mergeCell ref="V3:X3"/>
    <mergeCell ref="R3:T3"/>
    <mergeCell ref="V6:X6"/>
    <mergeCell ref="V7:X7"/>
    <mergeCell ref="V9:X9"/>
    <mergeCell ref="R7:T7"/>
    <mergeCell ref="R9:T9"/>
    <mergeCell ref="R4:U5"/>
    <mergeCell ref="V10:X10"/>
    <mergeCell ref="V2:X2"/>
    <mergeCell ref="V8:X8"/>
    <mergeCell ref="R6:T6"/>
    <mergeCell ref="R8:T8"/>
    <mergeCell ref="V4:Y5"/>
    <mergeCell ref="R2:T2"/>
    <mergeCell ref="R24:T24"/>
    <mergeCell ref="R28:U28"/>
    <mergeCell ref="J11:L11"/>
    <mergeCell ref="N20:P20"/>
    <mergeCell ref="N7:P7"/>
    <mergeCell ref="N10:P10"/>
    <mergeCell ref="N9:P9"/>
    <mergeCell ref="N8:P8"/>
    <mergeCell ref="J20:L20"/>
    <mergeCell ref="N11:P11"/>
    <mergeCell ref="N4:Q5"/>
    <mergeCell ref="J4:M5"/>
    <mergeCell ref="C30:Y30"/>
    <mergeCell ref="V29:Y29"/>
    <mergeCell ref="R29:U29"/>
    <mergeCell ref="J29:M29"/>
    <mergeCell ref="N29:Q29"/>
    <mergeCell ref="A27:E27"/>
    <mergeCell ref="N27:Q27"/>
    <mergeCell ref="N28:Q28"/>
    <mergeCell ref="A26:E26"/>
    <mergeCell ref="V28:Y28"/>
    <mergeCell ref="F26:I26"/>
    <mergeCell ref="V26:Y26"/>
    <mergeCell ref="F27:I27"/>
    <mergeCell ref="V27:Y27"/>
    <mergeCell ref="N26:Q26"/>
    <mergeCell ref="R26:U26"/>
    <mergeCell ref="R27:U27"/>
    <mergeCell ref="J27:M27"/>
    <mergeCell ref="F28:I28"/>
    <mergeCell ref="A21:A24"/>
    <mergeCell ref="C21:E21"/>
    <mergeCell ref="C22:E22"/>
    <mergeCell ref="F21:H21"/>
    <mergeCell ref="V25:X25"/>
    <mergeCell ref="J26:M26"/>
    <mergeCell ref="N25:P25"/>
    <mergeCell ref="N24:P24"/>
    <mergeCell ref="V22:X22"/>
    <mergeCell ref="V23:X23"/>
    <mergeCell ref="V24:X24"/>
    <mergeCell ref="C25:E25"/>
    <mergeCell ref="N22:P22"/>
    <mergeCell ref="J21:L21"/>
    <mergeCell ref="R25:T25"/>
    <mergeCell ref="R23:T23"/>
    <mergeCell ref="R21:T21"/>
    <mergeCell ref="R22:T22"/>
    <mergeCell ref="N23:P23"/>
    <mergeCell ref="F24:H24"/>
    <mergeCell ref="A12:A13"/>
    <mergeCell ref="C10:E10"/>
    <mergeCell ref="F11:H11"/>
    <mergeCell ref="C11:E11"/>
    <mergeCell ref="C8:E8"/>
    <mergeCell ref="F8:H8"/>
    <mergeCell ref="J8:L8"/>
    <mergeCell ref="C7:E7"/>
    <mergeCell ref="J7:L7"/>
    <mergeCell ref="F9:H9"/>
    <mergeCell ref="O1:S1"/>
    <mergeCell ref="F3:H3"/>
    <mergeCell ref="M32:R32"/>
    <mergeCell ref="F4:I5"/>
    <mergeCell ref="J22:L22"/>
    <mergeCell ref="J25:L25"/>
    <mergeCell ref="J24:L24"/>
    <mergeCell ref="J23:L23"/>
    <mergeCell ref="A1:M1"/>
    <mergeCell ref="J2:L2"/>
    <mergeCell ref="J3:L3"/>
    <mergeCell ref="A2:B3"/>
    <mergeCell ref="C3:E3"/>
    <mergeCell ref="C4:E4"/>
    <mergeCell ref="A4:B4"/>
    <mergeCell ref="A5:B5"/>
    <mergeCell ref="A14:A18"/>
    <mergeCell ref="A19:A20"/>
    <mergeCell ref="C20:E20"/>
    <mergeCell ref="F20:H20"/>
    <mergeCell ref="A6:A11"/>
    <mergeCell ref="N6:P6"/>
    <mergeCell ref="J9:L9"/>
    <mergeCell ref="J10:L10"/>
    <mergeCell ref="C2:D2"/>
    <mergeCell ref="C6:E6"/>
    <mergeCell ref="N21:P21"/>
    <mergeCell ref="N2:P2"/>
    <mergeCell ref="N3:P3"/>
    <mergeCell ref="F6:H6"/>
    <mergeCell ref="B36:Y36"/>
    <mergeCell ref="B34:Y35"/>
    <mergeCell ref="C5:E5"/>
    <mergeCell ref="F7:H7"/>
    <mergeCell ref="C9:E9"/>
    <mergeCell ref="J6:L6"/>
    <mergeCell ref="F10:H10"/>
    <mergeCell ref="A31:Y31"/>
    <mergeCell ref="A29:A30"/>
    <mergeCell ref="C29:E29"/>
    <mergeCell ref="F29:I29"/>
    <mergeCell ref="F22:H22"/>
    <mergeCell ref="F25:H25"/>
    <mergeCell ref="F23:H23"/>
    <mergeCell ref="C24:E24"/>
    <mergeCell ref="C23:E23"/>
    <mergeCell ref="A28:E28"/>
    <mergeCell ref="J28:M28"/>
  </mergeCells>
  <phoneticPr fontId="3" type="noConversion"/>
  <printOptions horizontalCentered="1"/>
  <pageMargins left="0.33" right="0.3" top="0.36" bottom="0.31" header="0.34" footer="0.31496062992125984"/>
  <pageSetup paperSize="9" scale="94"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8AD62-7BE1-4C14-AD77-BA10DADE7E87}">
  <sheetPr>
    <pageSetUpPr fitToPage="1"/>
  </sheetPr>
  <dimension ref="A1:Y31"/>
  <sheetViews>
    <sheetView topLeftCell="A4" workbookViewId="0">
      <selection activeCell="O2" sqref="O2:Q2"/>
    </sheetView>
  </sheetViews>
  <sheetFormatPr defaultRowHeight="15.75"/>
  <cols>
    <col min="1" max="1" width="11.5" style="10" customWidth="1"/>
    <col min="2" max="2" width="9.5" style="8" customWidth="1"/>
    <col min="3" max="3" width="9" style="8"/>
    <col min="4" max="4" width="16.75" style="8" customWidth="1"/>
    <col min="5" max="6" width="9" style="8"/>
    <col min="7" max="7" width="9.5" style="8" bestFit="1" customWidth="1"/>
    <col min="8" max="8" width="9" style="8"/>
    <col min="9" max="9" width="45.5" style="8" customWidth="1"/>
    <col min="10" max="16384" width="9" style="8"/>
  </cols>
  <sheetData>
    <row r="1" spans="1:17" ht="23.25" customHeight="1">
      <c r="A1" s="1104" t="s">
        <v>450</v>
      </c>
      <c r="B1" s="1105"/>
      <c r="C1" s="1105"/>
      <c r="D1" s="1105"/>
      <c r="E1" s="1105"/>
      <c r="F1" s="1105"/>
      <c r="G1" s="1105"/>
      <c r="H1" s="1105"/>
      <c r="I1" s="6"/>
    </row>
    <row r="2" spans="1:17" ht="16.5">
      <c r="A2" s="402" t="s">
        <v>3</v>
      </c>
      <c r="B2" s="1113" t="str">
        <f>'85表7個別因素清冊格式'!O2</f>
        <v>1040301-○○-○○○</v>
      </c>
      <c r="C2" s="1114"/>
      <c r="D2" s="1114"/>
      <c r="E2" s="56"/>
      <c r="F2" s="56"/>
      <c r="G2" s="1115" t="s">
        <v>110</v>
      </c>
      <c r="H2" s="1116"/>
      <c r="I2" s="8" t="s">
        <v>555</v>
      </c>
      <c r="O2" s="441"/>
      <c r="P2" s="441"/>
      <c r="Q2" s="441"/>
    </row>
    <row r="3" spans="1:17" ht="8.25" customHeight="1">
      <c r="B3" s="1106"/>
      <c r="C3" s="1106"/>
      <c r="D3" s="1106"/>
      <c r="E3" s="1106"/>
      <c r="F3" s="1106"/>
      <c r="G3" s="1106"/>
      <c r="H3" s="1106"/>
    </row>
    <row r="4" spans="1:17">
      <c r="A4" s="1107" t="s">
        <v>413</v>
      </c>
      <c r="B4" s="1109" t="s">
        <v>12</v>
      </c>
      <c r="C4" s="1109" t="s">
        <v>21</v>
      </c>
      <c r="D4" s="1109" t="s">
        <v>9</v>
      </c>
      <c r="E4" s="1111" t="s">
        <v>13</v>
      </c>
      <c r="F4" s="1109" t="s">
        <v>168</v>
      </c>
      <c r="G4" s="188" t="s">
        <v>10</v>
      </c>
      <c r="H4" s="188" t="s">
        <v>11</v>
      </c>
      <c r="I4" s="1102" t="s">
        <v>20</v>
      </c>
    </row>
    <row r="5" spans="1:17" ht="16.5">
      <c r="A5" s="1108"/>
      <c r="B5" s="1110"/>
      <c r="C5" s="1110"/>
      <c r="D5" s="1110"/>
      <c r="E5" s="1112"/>
      <c r="F5" s="1110"/>
      <c r="G5" s="189" t="s">
        <v>169</v>
      </c>
      <c r="H5" s="190" t="s">
        <v>170</v>
      </c>
      <c r="I5" s="1103"/>
    </row>
    <row r="6" spans="1:17" ht="16.5">
      <c r="A6" s="14" t="str">
        <f>'85表7個別因素清冊格式'!D$3</f>
        <v>0001</v>
      </c>
      <c r="B6" s="151" t="s">
        <v>461</v>
      </c>
      <c r="C6" s="147" t="s">
        <v>525</v>
      </c>
      <c r="D6" s="152" t="s">
        <v>414</v>
      </c>
      <c r="E6" s="11" t="s">
        <v>171</v>
      </c>
      <c r="F6" s="55">
        <v>878</v>
      </c>
      <c r="G6" s="58" t="e">
        <f>'102表6宗地市價估計表格式'!F28</f>
        <v>#REF!</v>
      </c>
      <c r="H6" s="132" t="s">
        <v>112</v>
      </c>
      <c r="I6" s="63"/>
    </row>
    <row r="7" spans="1:17" ht="16.5">
      <c r="A7" s="14" t="str">
        <f>'85表7個別因素清冊格式'!E3</f>
        <v>0002</v>
      </c>
      <c r="B7" s="151" t="s">
        <v>461</v>
      </c>
      <c r="C7" s="147" t="s">
        <v>525</v>
      </c>
      <c r="D7" s="152" t="s">
        <v>414</v>
      </c>
      <c r="E7" s="12" t="s">
        <v>172</v>
      </c>
      <c r="F7" s="55">
        <f>SUM(F8:F11)</f>
        <v>530</v>
      </c>
      <c r="G7" s="59" t="e">
        <f>'102表6宗地市價估計表格式'!J28</f>
        <v>#REF!</v>
      </c>
      <c r="H7" s="153">
        <v>15100</v>
      </c>
      <c r="I7" s="64" t="s">
        <v>173</v>
      </c>
    </row>
    <row r="8" spans="1:17" ht="16.5">
      <c r="A8" s="13" t="s">
        <v>402</v>
      </c>
      <c r="B8" s="151" t="s">
        <v>461</v>
      </c>
      <c r="C8" s="147" t="s">
        <v>525</v>
      </c>
      <c r="D8" s="152" t="s">
        <v>414</v>
      </c>
      <c r="E8" s="13" t="s">
        <v>174</v>
      </c>
      <c r="F8" s="55">
        <v>120</v>
      </c>
      <c r="G8" s="60"/>
      <c r="H8" s="133" t="s">
        <v>386</v>
      </c>
      <c r="I8" s="65"/>
    </row>
    <row r="9" spans="1:17" ht="16.5">
      <c r="A9" s="13" t="s">
        <v>403</v>
      </c>
      <c r="B9" s="151" t="s">
        <v>461</v>
      </c>
      <c r="C9" s="147" t="s">
        <v>525</v>
      </c>
      <c r="D9" s="152" t="s">
        <v>414</v>
      </c>
      <c r="E9" s="13" t="s">
        <v>175</v>
      </c>
      <c r="F9" s="55">
        <v>210</v>
      </c>
      <c r="G9" s="60"/>
      <c r="H9" s="134" t="s">
        <v>113</v>
      </c>
      <c r="I9" s="65"/>
    </row>
    <row r="10" spans="1:17" ht="16.5">
      <c r="A10" s="13" t="s">
        <v>404</v>
      </c>
      <c r="B10" s="151" t="s">
        <v>461</v>
      </c>
      <c r="C10" s="147" t="s">
        <v>525</v>
      </c>
      <c r="D10" s="152" t="s">
        <v>414</v>
      </c>
      <c r="E10" s="13" t="s">
        <v>176</v>
      </c>
      <c r="F10" s="55">
        <v>110</v>
      </c>
      <c r="G10" s="60"/>
      <c r="H10" s="134" t="s">
        <v>387</v>
      </c>
      <c r="I10" s="65"/>
    </row>
    <row r="11" spans="1:17" ht="16.5">
      <c r="A11" s="13" t="s">
        <v>405</v>
      </c>
      <c r="B11" s="151" t="s">
        <v>461</v>
      </c>
      <c r="C11" s="147" t="s">
        <v>525</v>
      </c>
      <c r="D11" s="152" t="s">
        <v>414</v>
      </c>
      <c r="E11" s="13" t="s">
        <v>177</v>
      </c>
      <c r="F11" s="55">
        <v>90</v>
      </c>
      <c r="G11" s="61"/>
      <c r="H11" s="135" t="s">
        <v>388</v>
      </c>
      <c r="I11" s="66"/>
    </row>
    <row r="12" spans="1:17" ht="16.5">
      <c r="A12" s="14" t="s">
        <v>406</v>
      </c>
      <c r="B12" s="151" t="s">
        <v>461</v>
      </c>
      <c r="C12" s="147" t="s">
        <v>525</v>
      </c>
      <c r="D12" s="152" t="s">
        <v>414</v>
      </c>
      <c r="E12" s="12" t="s">
        <v>178</v>
      </c>
      <c r="F12" s="55">
        <v>4456</v>
      </c>
      <c r="G12" s="62" t="e">
        <f>'102表6宗地市價估計表格式'!N28</f>
        <v>#REF!</v>
      </c>
      <c r="H12" s="132" t="s">
        <v>112</v>
      </c>
      <c r="I12" s="63" t="s">
        <v>179</v>
      </c>
    </row>
    <row r="13" spans="1:17" ht="16.5">
      <c r="A13" s="14" t="s">
        <v>407</v>
      </c>
      <c r="B13" s="151" t="s">
        <v>461</v>
      </c>
      <c r="C13" s="147" t="s">
        <v>525</v>
      </c>
      <c r="D13" s="152" t="s">
        <v>414</v>
      </c>
      <c r="E13" s="12" t="s">
        <v>180</v>
      </c>
      <c r="F13" s="55">
        <v>850</v>
      </c>
      <c r="G13" s="62" t="e">
        <f>'102表6宗地市價估計表格式'!R28</f>
        <v>#REF!</v>
      </c>
      <c r="H13" s="132" t="s">
        <v>112</v>
      </c>
      <c r="I13" s="63" t="s">
        <v>181</v>
      </c>
    </row>
    <row r="14" spans="1:17" ht="16.5">
      <c r="A14" s="14" t="s">
        <v>408</v>
      </c>
      <c r="B14" s="151" t="s">
        <v>461</v>
      </c>
      <c r="C14" s="147" t="s">
        <v>525</v>
      </c>
      <c r="D14" s="152" t="s">
        <v>414</v>
      </c>
      <c r="E14" s="12" t="s">
        <v>182</v>
      </c>
      <c r="F14" s="55">
        <v>330</v>
      </c>
      <c r="G14" s="62" t="e">
        <f>'102表6宗地市價估計表格式'!V28</f>
        <v>#REF!</v>
      </c>
      <c r="H14" s="132" t="s">
        <v>112</v>
      </c>
      <c r="I14" s="63" t="s">
        <v>467</v>
      </c>
    </row>
    <row r="15" spans="1:17" ht="16.5">
      <c r="A15" s="14" t="s">
        <v>409</v>
      </c>
      <c r="B15" s="151" t="s">
        <v>461</v>
      </c>
      <c r="C15" s="147" t="s">
        <v>525</v>
      </c>
      <c r="D15" s="152" t="s">
        <v>414</v>
      </c>
      <c r="E15" s="12" t="s">
        <v>462</v>
      </c>
      <c r="F15" s="55">
        <v>952</v>
      </c>
      <c r="G15" s="211" t="e">
        <f>'102表6宗地市價估計表格式'!C5</f>
        <v>#REF!</v>
      </c>
      <c r="H15" s="213" t="s">
        <v>112</v>
      </c>
      <c r="I15" s="64" t="s">
        <v>183</v>
      </c>
    </row>
    <row r="16" spans="1:17" ht="16.5">
      <c r="A16" s="13" t="s">
        <v>436</v>
      </c>
      <c r="B16" s="151" t="s">
        <v>461</v>
      </c>
      <c r="C16" s="147" t="s">
        <v>525</v>
      </c>
      <c r="D16" s="152" t="s">
        <v>414</v>
      </c>
      <c r="E16" s="13" t="s">
        <v>463</v>
      </c>
      <c r="F16" s="24">
        <v>609</v>
      </c>
      <c r="G16" s="212"/>
      <c r="H16" s="212"/>
      <c r="I16" s="214"/>
    </row>
    <row r="17" spans="1:25" ht="16.5">
      <c r="A17" s="13" t="s">
        <v>457</v>
      </c>
      <c r="B17" s="151" t="s">
        <v>461</v>
      </c>
      <c r="C17" s="147" t="s">
        <v>525</v>
      </c>
      <c r="D17" s="152" t="s">
        <v>414</v>
      </c>
      <c r="E17" s="13" t="s">
        <v>464</v>
      </c>
      <c r="F17" s="24">
        <v>343</v>
      </c>
      <c r="G17" s="67"/>
      <c r="H17" s="67"/>
      <c r="I17" s="215"/>
    </row>
    <row r="18" spans="1:25" ht="16.5">
      <c r="A18" s="14" t="s">
        <v>410</v>
      </c>
      <c r="B18" s="151" t="s">
        <v>461</v>
      </c>
      <c r="C18" s="147" t="s">
        <v>525</v>
      </c>
      <c r="D18" s="152" t="s">
        <v>291</v>
      </c>
      <c r="E18" s="12" t="s">
        <v>465</v>
      </c>
      <c r="F18" s="24">
        <v>363</v>
      </c>
      <c r="G18" s="24">
        <v>13900</v>
      </c>
      <c r="H18" s="132" t="s">
        <v>112</v>
      </c>
      <c r="I18" s="220" t="s">
        <v>471</v>
      </c>
    </row>
    <row r="19" spans="1:25" ht="16.5">
      <c r="A19" s="14" t="s">
        <v>411</v>
      </c>
      <c r="B19" s="151" t="s">
        <v>461</v>
      </c>
      <c r="C19" s="147" t="s">
        <v>525</v>
      </c>
      <c r="D19" s="152" t="s">
        <v>291</v>
      </c>
      <c r="E19" s="12" t="s">
        <v>466</v>
      </c>
      <c r="F19" s="24">
        <v>360</v>
      </c>
      <c r="G19" s="24">
        <v>13800</v>
      </c>
      <c r="H19" s="132" t="s">
        <v>112</v>
      </c>
      <c r="I19" s="220" t="s">
        <v>472</v>
      </c>
    </row>
    <row r="20" spans="1:25" ht="16.5">
      <c r="A20" s="14"/>
      <c r="B20" s="151"/>
      <c r="C20" s="147"/>
      <c r="D20" s="152"/>
      <c r="E20" s="191"/>
      <c r="F20" s="191"/>
      <c r="G20" s="191"/>
      <c r="H20" s="191"/>
      <c r="I20" s="191"/>
      <c r="J20" s="137"/>
      <c r="K20" s="137"/>
      <c r="L20" s="137"/>
      <c r="M20" s="137"/>
      <c r="N20" s="137"/>
      <c r="O20" s="137"/>
      <c r="P20" s="137"/>
      <c r="Q20" s="137"/>
      <c r="R20" s="137"/>
      <c r="S20" s="137"/>
      <c r="T20" s="137"/>
      <c r="U20" s="137"/>
      <c r="V20" s="137"/>
      <c r="W20" s="137"/>
      <c r="X20" s="137"/>
      <c r="Y20" s="137"/>
    </row>
    <row r="21" spans="1:25">
      <c r="A21" s="14"/>
      <c r="B21" s="151"/>
      <c r="C21" s="147"/>
      <c r="D21" s="152"/>
      <c r="E21" s="54"/>
      <c r="F21" s="54"/>
      <c r="G21" s="54"/>
      <c r="H21" s="54"/>
      <c r="I21" s="54"/>
    </row>
    <row r="22" spans="1:25">
      <c r="A22" s="192"/>
      <c r="B22" s="54"/>
      <c r="C22" s="54"/>
      <c r="D22" s="54"/>
      <c r="E22" s="54"/>
      <c r="F22" s="54"/>
      <c r="G22" s="54"/>
      <c r="H22" s="54"/>
      <c r="I22" s="54"/>
    </row>
    <row r="23" spans="1:25">
      <c r="A23" s="192"/>
      <c r="B23" s="54"/>
      <c r="C23" s="54"/>
      <c r="D23" s="54"/>
      <c r="E23" s="54"/>
      <c r="F23" s="54"/>
      <c r="G23" s="54"/>
      <c r="H23" s="54"/>
      <c r="I23" s="54"/>
    </row>
    <row r="24" spans="1:25">
      <c r="A24" s="192"/>
      <c r="B24" s="54"/>
      <c r="C24" s="54"/>
      <c r="D24" s="54"/>
      <c r="E24" s="54"/>
      <c r="F24" s="54"/>
      <c r="G24" s="54"/>
      <c r="H24" s="54"/>
      <c r="I24" s="54"/>
    </row>
    <row r="25" spans="1:25">
      <c r="A25" s="192"/>
      <c r="B25" s="54"/>
      <c r="C25" s="54"/>
      <c r="D25" s="54"/>
      <c r="E25" s="54"/>
      <c r="F25" s="54"/>
      <c r="G25" s="54"/>
      <c r="H25" s="54"/>
      <c r="I25" s="54"/>
    </row>
    <row r="26" spans="1:25">
      <c r="A26" s="192"/>
      <c r="B26" s="54"/>
      <c r="C26" s="54"/>
      <c r="D26" s="54"/>
      <c r="E26" s="54"/>
      <c r="F26" s="54"/>
      <c r="G26" s="54"/>
      <c r="H26" s="54"/>
      <c r="I26" s="54"/>
    </row>
    <row r="27" spans="1:25">
      <c r="A27" s="192"/>
      <c r="B27" s="54"/>
      <c r="C27" s="54"/>
      <c r="D27" s="54"/>
      <c r="E27" s="54"/>
      <c r="F27" s="54"/>
      <c r="G27" s="54"/>
      <c r="H27" s="54"/>
      <c r="I27" s="54"/>
    </row>
    <row r="28" spans="1:25">
      <c r="A28" s="192"/>
      <c r="B28" s="54"/>
      <c r="C28" s="54"/>
      <c r="D28" s="54"/>
      <c r="E28" s="54"/>
      <c r="F28" s="54"/>
      <c r="G28" s="54"/>
      <c r="H28" s="54"/>
      <c r="I28" s="54"/>
    </row>
    <row r="29" spans="1:25">
      <c r="A29" s="192"/>
      <c r="B29" s="54"/>
      <c r="C29" s="54"/>
      <c r="D29" s="54"/>
      <c r="E29" s="54"/>
      <c r="F29" s="54"/>
      <c r="G29" s="54"/>
      <c r="H29" s="54"/>
      <c r="I29" s="54"/>
    </row>
    <row r="30" spans="1:25">
      <c r="A30" s="192"/>
      <c r="B30" s="54"/>
      <c r="C30" s="54"/>
      <c r="D30" s="54"/>
      <c r="E30" s="54"/>
      <c r="F30" s="54"/>
      <c r="G30" s="54"/>
      <c r="H30" s="54"/>
      <c r="I30" s="54"/>
    </row>
    <row r="31" spans="1:25">
      <c r="A31" s="192"/>
      <c r="B31" s="54"/>
      <c r="C31" s="54"/>
      <c r="D31" s="54"/>
      <c r="E31" s="54"/>
      <c r="F31" s="54"/>
      <c r="G31" s="54"/>
      <c r="H31" s="54"/>
      <c r="I31" s="54"/>
    </row>
  </sheetData>
  <mergeCells count="11">
    <mergeCell ref="I4:I5"/>
    <mergeCell ref="A1:H1"/>
    <mergeCell ref="B3:H3"/>
    <mergeCell ref="A4:A5"/>
    <mergeCell ref="B4:B5"/>
    <mergeCell ref="D4:D5"/>
    <mergeCell ref="E4:E5"/>
    <mergeCell ref="F4:F5"/>
    <mergeCell ref="C4:C5"/>
    <mergeCell ref="B2:D2"/>
    <mergeCell ref="G2:H2"/>
  </mergeCells>
  <phoneticPr fontId="3" type="noConversion"/>
  <printOptions horizontalCentered="1" verticalCentered="1"/>
  <pageMargins left="0.23622047244094491" right="0.23622047244094491" top="0.36" bottom="0.28999999999999998" header="0.31496062992125984" footer="0.31496062992125984"/>
  <pageSetup paperSize="9"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9F335-7790-431D-A796-19413E80012A}">
  <sheetPr>
    <pageSetUpPr fitToPage="1"/>
  </sheetPr>
  <dimension ref="A1:Q31"/>
  <sheetViews>
    <sheetView topLeftCell="A4" workbookViewId="0">
      <selection activeCell="O2" sqref="O2:Q2"/>
    </sheetView>
  </sheetViews>
  <sheetFormatPr defaultRowHeight="15.75"/>
  <cols>
    <col min="1" max="1" width="10.875" style="10" customWidth="1"/>
    <col min="2" max="2" width="9.75" style="8" customWidth="1"/>
    <col min="3" max="3" width="16.75" style="8" customWidth="1"/>
    <col min="4" max="4" width="9.875" style="8" customWidth="1"/>
    <col min="5" max="5" width="13" style="8" customWidth="1"/>
    <col min="6" max="6" width="9" style="8"/>
    <col min="7" max="7" width="41.875" style="8" customWidth="1"/>
    <col min="8" max="16384" width="9" style="8"/>
  </cols>
  <sheetData>
    <row r="1" spans="1:17" ht="24.75" customHeight="1">
      <c r="A1" s="1104" t="s">
        <v>451</v>
      </c>
      <c r="B1" s="1105"/>
      <c r="C1" s="1105"/>
      <c r="D1" s="1105"/>
      <c r="E1" s="1105"/>
      <c r="F1" s="1105"/>
      <c r="G1" s="6"/>
    </row>
    <row r="2" spans="1:17" ht="16.5">
      <c r="A2" s="401" t="s">
        <v>74</v>
      </c>
      <c r="B2" s="1113" t="str">
        <f>'103表9宗地市價評議表'!B2:D2</f>
        <v>1040301-○○-○○○</v>
      </c>
      <c r="C2" s="1121"/>
      <c r="D2" s="1121"/>
      <c r="E2" s="1117" t="s">
        <v>110</v>
      </c>
      <c r="F2" s="1118"/>
      <c r="G2" s="8" t="s">
        <v>555</v>
      </c>
      <c r="O2" s="441"/>
      <c r="P2" s="441"/>
      <c r="Q2" s="441"/>
    </row>
    <row r="3" spans="1:17" ht="21.75" customHeight="1">
      <c r="A3" s="1119" t="str">
        <f>'[2]2-3個別因素清冊格式'!A2:M2</f>
        <v>興辦事業計畫名稱：</v>
      </c>
      <c r="B3" s="1120"/>
      <c r="C3" s="1120"/>
      <c r="D3" s="1120"/>
      <c r="E3" s="1120"/>
      <c r="F3" s="1120"/>
    </row>
    <row r="4" spans="1:17" ht="16.5">
      <c r="A4" s="1107" t="s">
        <v>413</v>
      </c>
      <c r="B4" s="1109" t="s">
        <v>75</v>
      </c>
      <c r="C4" s="1109" t="s">
        <v>76</v>
      </c>
      <c r="D4" s="1111" t="s">
        <v>77</v>
      </c>
      <c r="E4" s="1109" t="s">
        <v>78</v>
      </c>
      <c r="F4" s="193" t="s">
        <v>79</v>
      </c>
      <c r="G4" s="1102" t="s">
        <v>184</v>
      </c>
    </row>
    <row r="5" spans="1:17">
      <c r="A5" s="1108"/>
      <c r="B5" s="1110"/>
      <c r="C5" s="1110"/>
      <c r="D5" s="1112"/>
      <c r="E5" s="1110"/>
      <c r="F5" s="194" t="s">
        <v>80</v>
      </c>
      <c r="G5" s="1103"/>
    </row>
    <row r="6" spans="1:17">
      <c r="A6" s="14" t="str">
        <f>'85表7個別因素清冊格式'!D$3</f>
        <v>0001</v>
      </c>
      <c r="B6" s="151" t="s">
        <v>460</v>
      </c>
      <c r="C6" s="152" t="s">
        <v>414</v>
      </c>
      <c r="D6" s="11" t="s">
        <v>81</v>
      </c>
      <c r="E6" s="55">
        <v>878</v>
      </c>
      <c r="F6" s="23" t="e">
        <f>'103表9宗地市價評議表'!G6</f>
        <v>#REF!</v>
      </c>
      <c r="G6" s="54"/>
    </row>
    <row r="7" spans="1:17" ht="16.5">
      <c r="A7" s="14" t="str">
        <f>'85表7個別因素清冊格式'!E3</f>
        <v>0002</v>
      </c>
      <c r="B7" s="151" t="s">
        <v>460</v>
      </c>
      <c r="C7" s="152" t="s">
        <v>414</v>
      </c>
      <c r="D7" s="12" t="s">
        <v>82</v>
      </c>
      <c r="E7" s="55">
        <f>SUM(E8:E11)</f>
        <v>530</v>
      </c>
      <c r="F7" s="131">
        <f>'103表9宗地市價評議表'!H7</f>
        <v>15100</v>
      </c>
      <c r="G7" s="121" t="s">
        <v>383</v>
      </c>
    </row>
    <row r="8" spans="1:17">
      <c r="A8" s="13" t="s">
        <v>402</v>
      </c>
      <c r="B8" s="151" t="s">
        <v>460</v>
      </c>
      <c r="C8" s="152" t="s">
        <v>414</v>
      </c>
      <c r="D8" s="13" t="s">
        <v>83</v>
      </c>
      <c r="E8" s="55">
        <v>120</v>
      </c>
      <c r="F8" s="25"/>
      <c r="G8" s="122"/>
    </row>
    <row r="9" spans="1:17">
      <c r="A9" s="13" t="s">
        <v>403</v>
      </c>
      <c r="B9" s="151" t="s">
        <v>460</v>
      </c>
      <c r="C9" s="152" t="s">
        <v>414</v>
      </c>
      <c r="D9" s="13" t="s">
        <v>84</v>
      </c>
      <c r="E9" s="55">
        <v>210</v>
      </c>
      <c r="F9" s="25"/>
      <c r="G9" s="122"/>
    </row>
    <row r="10" spans="1:17">
      <c r="A10" s="13" t="s">
        <v>404</v>
      </c>
      <c r="B10" s="151" t="s">
        <v>460</v>
      </c>
      <c r="C10" s="152" t="s">
        <v>414</v>
      </c>
      <c r="D10" s="13" t="s">
        <v>85</v>
      </c>
      <c r="E10" s="55">
        <v>110</v>
      </c>
      <c r="F10" s="25"/>
      <c r="G10" s="122"/>
    </row>
    <row r="11" spans="1:17">
      <c r="A11" s="13" t="s">
        <v>405</v>
      </c>
      <c r="B11" s="151" t="s">
        <v>460</v>
      </c>
      <c r="C11" s="152" t="s">
        <v>414</v>
      </c>
      <c r="D11" s="13" t="s">
        <v>86</v>
      </c>
      <c r="E11" s="55">
        <v>90</v>
      </c>
      <c r="F11" s="26"/>
      <c r="G11" s="123"/>
    </row>
    <row r="12" spans="1:17">
      <c r="A12" s="14" t="s">
        <v>406</v>
      </c>
      <c r="B12" s="151" t="s">
        <v>460</v>
      </c>
      <c r="C12" s="152" t="s">
        <v>414</v>
      </c>
      <c r="D12" s="12" t="s">
        <v>87</v>
      </c>
      <c r="E12" s="55">
        <v>4456</v>
      </c>
      <c r="F12" s="24" t="e">
        <f>'103表9宗地市價評議表'!G12</f>
        <v>#REF!</v>
      </c>
      <c r="G12" s="124" t="s">
        <v>384</v>
      </c>
    </row>
    <row r="13" spans="1:17">
      <c r="A13" s="14" t="s">
        <v>407</v>
      </c>
      <c r="B13" s="151" t="s">
        <v>460</v>
      </c>
      <c r="C13" s="152" t="s">
        <v>414</v>
      </c>
      <c r="D13" s="12" t="s">
        <v>88</v>
      </c>
      <c r="E13" s="55">
        <v>850</v>
      </c>
      <c r="F13" s="24" t="e">
        <f>'103表9宗地市價評議表'!G13</f>
        <v>#REF!</v>
      </c>
      <c r="G13" s="124" t="s">
        <v>181</v>
      </c>
    </row>
    <row r="14" spans="1:17">
      <c r="A14" s="14" t="s">
        <v>408</v>
      </c>
      <c r="B14" s="151" t="s">
        <v>460</v>
      </c>
      <c r="C14" s="152" t="s">
        <v>414</v>
      </c>
      <c r="D14" s="12" t="s">
        <v>89</v>
      </c>
      <c r="E14" s="55">
        <v>330</v>
      </c>
      <c r="F14" s="24" t="e">
        <f>'103表9宗地市價評議表'!G14</f>
        <v>#REF!</v>
      </c>
      <c r="G14" s="124" t="s">
        <v>468</v>
      </c>
    </row>
    <row r="15" spans="1:17" ht="16.5">
      <c r="A15" s="14" t="s">
        <v>409</v>
      </c>
      <c r="B15" s="151" t="s">
        <v>461</v>
      </c>
      <c r="C15" s="152" t="s">
        <v>414</v>
      </c>
      <c r="D15" s="12" t="s">
        <v>462</v>
      </c>
      <c r="E15" s="55">
        <v>952</v>
      </c>
      <c r="F15" s="216" t="e">
        <f>'103表9宗地市價評議表'!G15</f>
        <v>#REF!</v>
      </c>
      <c r="G15" s="217" t="s">
        <v>385</v>
      </c>
    </row>
    <row r="16" spans="1:17">
      <c r="A16" s="13" t="s">
        <v>436</v>
      </c>
      <c r="B16" s="151" t="s">
        <v>461</v>
      </c>
      <c r="C16" s="152" t="s">
        <v>414</v>
      </c>
      <c r="D16" s="13" t="s">
        <v>463</v>
      </c>
      <c r="E16" s="24">
        <v>609</v>
      </c>
      <c r="F16" s="212"/>
      <c r="G16" s="218"/>
    </row>
    <row r="17" spans="1:7">
      <c r="A17" s="13" t="s">
        <v>457</v>
      </c>
      <c r="B17" s="151" t="s">
        <v>461</v>
      </c>
      <c r="C17" s="152" t="s">
        <v>414</v>
      </c>
      <c r="D17" s="13" t="s">
        <v>464</v>
      </c>
      <c r="E17" s="24">
        <v>343</v>
      </c>
      <c r="F17" s="67"/>
      <c r="G17" s="219"/>
    </row>
    <row r="18" spans="1:7">
      <c r="A18" s="14" t="s">
        <v>410</v>
      </c>
      <c r="B18" s="151" t="s">
        <v>461</v>
      </c>
      <c r="C18" s="152" t="s">
        <v>414</v>
      </c>
      <c r="D18" s="12" t="s">
        <v>465</v>
      </c>
      <c r="E18" s="24">
        <v>363</v>
      </c>
      <c r="F18" s="24">
        <v>13900</v>
      </c>
      <c r="G18" s="217" t="s">
        <v>469</v>
      </c>
    </row>
    <row r="19" spans="1:7">
      <c r="A19" s="14" t="s">
        <v>411</v>
      </c>
      <c r="B19" s="151" t="s">
        <v>461</v>
      </c>
      <c r="C19" s="152" t="s">
        <v>414</v>
      </c>
      <c r="D19" s="12" t="s">
        <v>466</v>
      </c>
      <c r="E19" s="24">
        <v>360</v>
      </c>
      <c r="F19" s="24">
        <v>13800</v>
      </c>
      <c r="G19" s="217" t="s">
        <v>470</v>
      </c>
    </row>
    <row r="20" spans="1:7">
      <c r="A20" s="14"/>
      <c r="B20" s="54"/>
      <c r="C20" s="54"/>
      <c r="D20" s="12"/>
      <c r="E20" s="54"/>
      <c r="F20" s="54"/>
      <c r="G20" s="54"/>
    </row>
    <row r="21" spans="1:7">
      <c r="A21" s="192"/>
      <c r="B21" s="54"/>
      <c r="C21" s="54"/>
      <c r="D21" s="54"/>
      <c r="E21" s="54"/>
      <c r="F21" s="54"/>
      <c r="G21" s="54"/>
    </row>
    <row r="22" spans="1:7">
      <c r="A22" s="192"/>
      <c r="B22" s="54"/>
      <c r="C22" s="54"/>
      <c r="D22" s="54"/>
      <c r="E22" s="54"/>
      <c r="F22" s="54"/>
      <c r="G22" s="54"/>
    </row>
    <row r="23" spans="1:7">
      <c r="A23" s="192"/>
      <c r="B23" s="54"/>
      <c r="C23" s="54"/>
      <c r="D23" s="54"/>
      <c r="E23" s="54"/>
      <c r="F23" s="54"/>
      <c r="G23" s="54"/>
    </row>
    <row r="24" spans="1:7">
      <c r="A24" s="192"/>
      <c r="B24" s="54"/>
      <c r="C24" s="54"/>
      <c r="D24" s="54"/>
      <c r="E24" s="54"/>
      <c r="F24" s="54"/>
      <c r="G24" s="54"/>
    </row>
    <row r="25" spans="1:7">
      <c r="A25" s="192"/>
      <c r="B25" s="54"/>
      <c r="C25" s="54"/>
      <c r="D25" s="54"/>
      <c r="E25" s="54"/>
      <c r="F25" s="54"/>
      <c r="G25" s="54"/>
    </row>
    <row r="26" spans="1:7">
      <c r="A26" s="192"/>
      <c r="B26" s="54"/>
      <c r="C26" s="54"/>
      <c r="D26" s="54"/>
      <c r="E26" s="54"/>
      <c r="F26" s="54"/>
      <c r="G26" s="54"/>
    </row>
    <row r="27" spans="1:7">
      <c r="A27" s="192"/>
      <c r="B27" s="54"/>
      <c r="C27" s="54"/>
      <c r="D27" s="54"/>
      <c r="E27" s="54"/>
      <c r="F27" s="54"/>
      <c r="G27" s="54"/>
    </row>
    <row r="28" spans="1:7">
      <c r="A28" s="192"/>
      <c r="B28" s="54"/>
      <c r="C28" s="54"/>
      <c r="D28" s="54"/>
      <c r="E28" s="54"/>
      <c r="F28" s="54"/>
      <c r="G28" s="54"/>
    </row>
    <row r="29" spans="1:7">
      <c r="A29" s="192"/>
      <c r="B29" s="54"/>
      <c r="C29" s="54"/>
      <c r="D29" s="54"/>
      <c r="E29" s="54"/>
      <c r="F29" s="54"/>
      <c r="G29" s="54"/>
    </row>
    <row r="30" spans="1:7">
      <c r="A30" s="192"/>
      <c r="B30" s="54"/>
      <c r="C30" s="54"/>
      <c r="D30" s="54"/>
      <c r="E30" s="54"/>
      <c r="F30" s="54"/>
      <c r="G30" s="54"/>
    </row>
    <row r="31" spans="1:7">
      <c r="A31" s="192"/>
      <c r="B31" s="54"/>
      <c r="C31" s="54"/>
      <c r="D31" s="54"/>
      <c r="E31" s="54"/>
      <c r="F31" s="54"/>
      <c r="G31" s="54"/>
    </row>
  </sheetData>
  <mergeCells count="10">
    <mergeCell ref="E2:F2"/>
    <mergeCell ref="G4:G5"/>
    <mergeCell ref="A1:F1"/>
    <mergeCell ref="A3:F3"/>
    <mergeCell ref="A4:A5"/>
    <mergeCell ref="B4:B5"/>
    <mergeCell ref="C4:C5"/>
    <mergeCell ref="D4:D5"/>
    <mergeCell ref="E4:E5"/>
    <mergeCell ref="B2:D2"/>
  </mergeCells>
  <phoneticPr fontId="3" type="noConversion"/>
  <printOptions horizontalCentered="1" verticalCentered="1"/>
  <pageMargins left="0.23622047244094491" right="0.23622047244094491" top="0.44" bottom="0.39" header="0.31496062992125984" footer="0.31496062992125984"/>
  <pageSetup paperSize="9" orientation="landscape" r:id="rId1"/>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5AC79-25A3-4C45-8A7B-24AB0A3595D3}">
  <sheetPr>
    <tabColor indexed="10"/>
    <pageSetUpPr fitToPage="1"/>
  </sheetPr>
  <dimension ref="A1:Q22"/>
  <sheetViews>
    <sheetView topLeftCell="A10" zoomScaleNormal="178" workbookViewId="0">
      <selection activeCell="O2" sqref="O2:Q2"/>
    </sheetView>
  </sheetViews>
  <sheetFormatPr defaultColWidth="15.625" defaultRowHeight="15"/>
  <cols>
    <col min="1" max="1" width="12.875" style="222" customWidth="1"/>
    <col min="2" max="4" width="12.625" style="224" customWidth="1"/>
    <col min="5" max="7" width="12.625" style="222" customWidth="1"/>
    <col min="8" max="8" width="15.625" style="222"/>
    <col min="9" max="11" width="9" style="222" customWidth="1"/>
    <col min="12" max="16384" width="15.625" style="222"/>
  </cols>
  <sheetData>
    <row r="1" spans="1:17" ht="23.25" customHeight="1">
      <c r="A1" s="1145" t="s">
        <v>714</v>
      </c>
      <c r="B1" s="1146"/>
      <c r="C1" s="1146"/>
      <c r="D1" s="1146"/>
      <c r="E1" s="1146"/>
      <c r="F1" s="1146"/>
      <c r="G1" s="1146"/>
    </row>
    <row r="2" spans="1:17" ht="23.25" customHeight="1">
      <c r="A2" s="223" t="s">
        <v>96</v>
      </c>
      <c r="B2" s="1127" t="str">
        <f>'106表11-2計算表 '!C3</f>
        <v>1030302-1030901</v>
      </c>
      <c r="C2" s="1127"/>
      <c r="D2" s="223" t="s">
        <v>95</v>
      </c>
      <c r="E2" s="1127" t="str">
        <f>'106表11-2計算表 '!F3</f>
        <v>1030902-1040301</v>
      </c>
      <c r="F2" s="1127"/>
      <c r="G2" s="394"/>
      <c r="O2" s="440"/>
      <c r="P2" s="440"/>
      <c r="Q2" s="440"/>
    </row>
    <row r="3" spans="1:17" ht="23.25" customHeight="1">
      <c r="A3" s="223" t="s">
        <v>683</v>
      </c>
      <c r="B3" s="224" t="s">
        <v>475</v>
      </c>
      <c r="D3" s="223" t="s">
        <v>161</v>
      </c>
      <c r="E3" s="1142" t="s">
        <v>484</v>
      </c>
      <c r="F3" s="1143"/>
      <c r="G3" s="1143"/>
    </row>
    <row r="4" spans="1:17" s="229" customFormat="1" ht="20.100000000000001" customHeight="1">
      <c r="A4" s="226" t="s">
        <v>476</v>
      </c>
      <c r="B4" s="227" t="s">
        <v>485</v>
      </c>
      <c r="C4" s="227" t="s">
        <v>486</v>
      </c>
      <c r="D4" s="226" t="s">
        <v>476</v>
      </c>
      <c r="E4" s="227" t="s">
        <v>485</v>
      </c>
      <c r="F4" s="227" t="s">
        <v>486</v>
      </c>
      <c r="G4" s="228"/>
    </row>
    <row r="5" spans="1:17" ht="20.100000000000001" customHeight="1">
      <c r="A5" s="1150" t="s">
        <v>487</v>
      </c>
      <c r="B5" s="1152">
        <f>E5+E6</f>
        <v>22</v>
      </c>
      <c r="C5" s="1124">
        <f>B5/$B$9</f>
        <v>0.33333333333333331</v>
      </c>
      <c r="D5" s="230" t="s">
        <v>488</v>
      </c>
      <c r="E5" s="231">
        <f>'106表11-2計算表 '!C40</f>
        <v>11</v>
      </c>
      <c r="F5" s="232">
        <f>E5/$B$5</f>
        <v>0.5</v>
      </c>
      <c r="G5" s="233"/>
    </row>
    <row r="6" spans="1:17" ht="20.100000000000001" customHeight="1">
      <c r="A6" s="1151"/>
      <c r="B6" s="1153"/>
      <c r="C6" s="1144"/>
      <c r="D6" s="230" t="s">
        <v>489</v>
      </c>
      <c r="E6" s="234">
        <f>'107表11-2計算表(2)'!C40</f>
        <v>11</v>
      </c>
      <c r="F6" s="232">
        <f>E6/$B$5</f>
        <v>0.5</v>
      </c>
      <c r="G6" s="233"/>
    </row>
    <row r="7" spans="1:17" ht="20.100000000000001" customHeight="1">
      <c r="A7" s="1150" t="s">
        <v>490</v>
      </c>
      <c r="B7" s="1152">
        <f>E7+E8</f>
        <v>44</v>
      </c>
      <c r="C7" s="1124">
        <f>B7/$B$9</f>
        <v>0.66666666666666663</v>
      </c>
      <c r="D7" s="230" t="s">
        <v>491</v>
      </c>
      <c r="E7" s="234">
        <f>'108TEST01H1計算表'!C40</f>
        <v>23</v>
      </c>
      <c r="F7" s="232">
        <f>E7/$B$7</f>
        <v>0.52272727272727271</v>
      </c>
      <c r="G7" s="233"/>
      <c r="K7" s="235"/>
    </row>
    <row r="8" spans="1:17" ht="20.100000000000001" customHeight="1">
      <c r="A8" s="1151"/>
      <c r="B8" s="1153"/>
      <c r="C8" s="1144"/>
      <c r="D8" s="230" t="s">
        <v>492</v>
      </c>
      <c r="E8" s="234">
        <f>'109TEST01H2計算表'!C40</f>
        <v>21</v>
      </c>
      <c r="F8" s="232">
        <f>E8/$B$7</f>
        <v>0.47727272727272729</v>
      </c>
      <c r="G8" s="233"/>
      <c r="K8" s="235"/>
    </row>
    <row r="9" spans="1:17" ht="20.100000000000001" customHeight="1">
      <c r="A9" s="230" t="s">
        <v>493</v>
      </c>
      <c r="B9" s="234">
        <f>B5+B7</f>
        <v>66</v>
      </c>
      <c r="C9" s="232">
        <f>B9/$B$9</f>
        <v>1</v>
      </c>
      <c r="D9" s="236" t="s">
        <v>493</v>
      </c>
      <c r="E9" s="234">
        <f>SUM(E5:E8)</f>
        <v>66</v>
      </c>
      <c r="F9" s="232">
        <f>E9/$B$9</f>
        <v>1</v>
      </c>
      <c r="G9" s="233"/>
      <c r="K9" s="235"/>
    </row>
    <row r="10" spans="1:17" ht="20.100000000000001" customHeight="1">
      <c r="A10" s="1147"/>
      <c r="B10" s="1148"/>
      <c r="C10" s="1148"/>
      <c r="D10" s="1148"/>
      <c r="E10" s="1148"/>
      <c r="F10" s="1148"/>
      <c r="G10" s="1149"/>
      <c r="I10" s="237"/>
      <c r="K10" s="235"/>
    </row>
    <row r="11" spans="1:17" ht="20.100000000000001" customHeight="1">
      <c r="A11" s="403" t="s">
        <v>494</v>
      </c>
      <c r="B11" s="404"/>
      <c r="C11" s="405" t="s">
        <v>532</v>
      </c>
      <c r="D11" s="406" t="s">
        <v>495</v>
      </c>
      <c r="E11" s="407"/>
      <c r="F11" s="406" t="s">
        <v>496</v>
      </c>
      <c r="G11" s="408"/>
      <c r="I11" s="237"/>
      <c r="K11" s="235"/>
    </row>
    <row r="12" spans="1:17" s="229" customFormat="1" ht="20.100000000000001" customHeight="1">
      <c r="A12" s="405" t="s">
        <v>497</v>
      </c>
      <c r="B12" s="405" t="s">
        <v>498</v>
      </c>
      <c r="C12" s="409" t="s">
        <v>672</v>
      </c>
      <c r="D12" s="405" t="s">
        <v>499</v>
      </c>
      <c r="E12" s="405" t="s">
        <v>500</v>
      </c>
      <c r="F12" s="410" t="s">
        <v>501</v>
      </c>
      <c r="G12" s="411" t="s">
        <v>502</v>
      </c>
    </row>
    <row r="13" spans="1:17" s="241" customFormat="1" ht="20.100000000000001" customHeight="1">
      <c r="A13" s="234">
        <f>'106表11-2計算表 '!D43</f>
        <v>19620.666666666668</v>
      </c>
      <c r="B13" s="231">
        <f>'106表11-2計算表 '!G43</f>
        <v>22465.833333333332</v>
      </c>
      <c r="C13" s="232">
        <f>F5</f>
        <v>0.5</v>
      </c>
      <c r="D13" s="1128">
        <f>A13*C13+A15*C15</f>
        <v>10355.166666666668</v>
      </c>
      <c r="E13" s="1128">
        <f>B13*C13+B15*C15</f>
        <v>12042.833333333332</v>
      </c>
      <c r="F13" s="1124">
        <f>E13/D13</f>
        <v>1.1629782234311372</v>
      </c>
      <c r="G13" s="1124">
        <f>C5*F13+F17*C7</f>
        <v>0.99766131938952562</v>
      </c>
    </row>
    <row r="14" spans="1:17" s="229" customFormat="1" ht="20.100000000000001" customHeight="1">
      <c r="A14" s="238" t="s">
        <v>503</v>
      </c>
      <c r="B14" s="238" t="s">
        <v>504</v>
      </c>
      <c r="C14" s="239" t="s">
        <v>673</v>
      </c>
      <c r="D14" s="1131"/>
      <c r="E14" s="1131"/>
      <c r="F14" s="1125"/>
      <c r="G14" s="1125"/>
    </row>
    <row r="15" spans="1:17" s="241" customFormat="1" ht="20.100000000000001" customHeight="1">
      <c r="A15" s="234">
        <f>'107表11-2計算表(2)'!D43</f>
        <v>1089.6666666666667</v>
      </c>
      <c r="B15" s="231">
        <f>'107表11-2計算表(2)'!G43</f>
        <v>1619.8333333333333</v>
      </c>
      <c r="C15" s="232">
        <f>F6</f>
        <v>0.5</v>
      </c>
      <c r="D15" s="1132"/>
      <c r="E15" s="1132"/>
      <c r="F15" s="1126"/>
      <c r="G15" s="1125"/>
    </row>
    <row r="16" spans="1:17" s="229" customFormat="1" ht="20.100000000000001" customHeight="1">
      <c r="A16" s="238" t="s">
        <v>505</v>
      </c>
      <c r="B16" s="238" t="s">
        <v>506</v>
      </c>
      <c r="C16" s="239" t="s">
        <v>674</v>
      </c>
      <c r="D16" s="238" t="s">
        <v>507</v>
      </c>
      <c r="E16" s="238" t="s">
        <v>508</v>
      </c>
      <c r="F16" s="240" t="s">
        <v>509</v>
      </c>
      <c r="G16" s="1125"/>
    </row>
    <row r="17" spans="1:7" s="241" customFormat="1" ht="20.100000000000001" customHeight="1">
      <c r="A17" s="234">
        <f>'108TEST01H1計算表'!D43</f>
        <v>29140.333333333332</v>
      </c>
      <c r="B17" s="231">
        <f>'108TEST01H1計算表'!G43</f>
        <v>24931.714285714286</v>
      </c>
      <c r="C17" s="232">
        <f>F7</f>
        <v>0.52272727272727271</v>
      </c>
      <c r="D17" s="1128">
        <f>A17*C17+A19*C19</f>
        <v>23374.862878787877</v>
      </c>
      <c r="E17" s="1128">
        <f>B17*C17+B19*C19</f>
        <v>21388.066558441558</v>
      </c>
      <c r="F17" s="1124">
        <f>E17/D17</f>
        <v>0.91500286736871994</v>
      </c>
      <c r="G17" s="1125"/>
    </row>
    <row r="18" spans="1:7" s="229" customFormat="1" ht="20.100000000000001" customHeight="1">
      <c r="A18" s="238" t="s">
        <v>510</v>
      </c>
      <c r="B18" s="238" t="s">
        <v>511</v>
      </c>
      <c r="C18" s="239" t="s">
        <v>675</v>
      </c>
      <c r="D18" s="1129"/>
      <c r="E18" s="1131"/>
      <c r="F18" s="1125"/>
      <c r="G18" s="1125"/>
    </row>
    <row r="19" spans="1:7" s="241" customFormat="1" ht="20.100000000000001" customHeight="1">
      <c r="A19" s="234">
        <f>'109TEST01H2計算表'!D43</f>
        <v>17060.3</v>
      </c>
      <c r="B19" s="231">
        <f>'109TEST01H2計算表'!G43</f>
        <v>17506.928571428572</v>
      </c>
      <c r="C19" s="232">
        <f>F8</f>
        <v>0.47727272727272729</v>
      </c>
      <c r="D19" s="1130"/>
      <c r="E19" s="1132"/>
      <c r="F19" s="1126"/>
      <c r="G19" s="1126"/>
    </row>
    <row r="20" spans="1:7" s="242" customFormat="1" ht="20.100000000000001" customHeight="1">
      <c r="A20" s="1139" t="s">
        <v>2</v>
      </c>
      <c r="B20" s="1140"/>
      <c r="C20" s="1140"/>
      <c r="D20" s="1141"/>
      <c r="E20" s="1133">
        <f>G13</f>
        <v>0.99766131938952562</v>
      </c>
      <c r="F20" s="1134"/>
      <c r="G20" s="1135"/>
    </row>
    <row r="21" spans="1:7" ht="42" customHeight="1">
      <c r="A21" s="1136" t="s">
        <v>131</v>
      </c>
      <c r="B21" s="1137"/>
      <c r="C21" s="1138"/>
      <c r="D21" s="1138"/>
      <c r="E21" s="1138"/>
      <c r="F21" s="1138"/>
      <c r="G21" s="1138"/>
    </row>
    <row r="22" spans="1:7" ht="32.25" customHeight="1">
      <c r="A22" s="1122" t="s">
        <v>671</v>
      </c>
      <c r="B22" s="1123"/>
      <c r="C22" s="1123"/>
      <c r="D22" s="1123"/>
      <c r="E22" s="1123"/>
      <c r="F22" s="1123"/>
      <c r="G22" s="1123"/>
    </row>
  </sheetData>
  <mergeCells count="23">
    <mergeCell ref="A1:G1"/>
    <mergeCell ref="A10:G10"/>
    <mergeCell ref="A7:A8"/>
    <mergeCell ref="A5:A6"/>
    <mergeCell ref="B5:B6"/>
    <mergeCell ref="B7:B8"/>
    <mergeCell ref="C5:C6"/>
    <mergeCell ref="A22:G22"/>
    <mergeCell ref="F13:F15"/>
    <mergeCell ref="B2:C2"/>
    <mergeCell ref="D17:D19"/>
    <mergeCell ref="D13:D15"/>
    <mergeCell ref="E13:E15"/>
    <mergeCell ref="E17:E19"/>
    <mergeCell ref="E20:G20"/>
    <mergeCell ref="F17:F19"/>
    <mergeCell ref="G13:G19"/>
    <mergeCell ref="A21:B21"/>
    <mergeCell ref="C21:G21"/>
    <mergeCell ref="A20:D20"/>
    <mergeCell ref="E3:G3"/>
    <mergeCell ref="E2:F2"/>
    <mergeCell ref="C7:C8"/>
  </mergeCells>
  <phoneticPr fontId="3" type="noConversion"/>
  <printOptions horizontalCentered="1" verticalCentered="1"/>
  <pageMargins left="0.23622047244094491" right="0.23622047244094491" top="0.28000000000000003" bottom="0.4" header="0.31496062992125984" footer="0.31496062992125984"/>
  <pageSetup paperSize="9" orientation="landscape"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1DCF5-E80B-466D-8816-6A237D11AAC3}">
  <sheetPr>
    <tabColor indexed="10"/>
    <pageSetUpPr fitToPage="1"/>
  </sheetPr>
  <dimension ref="A1:Q96"/>
  <sheetViews>
    <sheetView topLeftCell="A28" zoomScaleNormal="178" workbookViewId="0">
      <selection activeCell="O2" sqref="O2:Q2"/>
    </sheetView>
  </sheetViews>
  <sheetFormatPr defaultColWidth="15.625" defaultRowHeight="15"/>
  <cols>
    <col min="1" max="1" width="5.625" style="222" customWidth="1"/>
    <col min="2" max="4" width="12.625" style="224" customWidth="1"/>
    <col min="5" max="7" width="12.625" style="222" customWidth="1"/>
    <col min="8" max="16384" width="15.625" style="222"/>
  </cols>
  <sheetData>
    <row r="1" spans="1:17" ht="23.25" customHeight="1">
      <c r="A1" s="1145" t="s">
        <v>740</v>
      </c>
      <c r="B1" s="1146"/>
      <c r="C1" s="1146"/>
      <c r="D1" s="1146"/>
      <c r="E1" s="1146"/>
      <c r="F1" s="1146"/>
      <c r="G1" s="1146"/>
    </row>
    <row r="2" spans="1:17" ht="49.5" customHeight="1">
      <c r="B2" s="223" t="s">
        <v>682</v>
      </c>
      <c r="C2" s="244" t="s">
        <v>512</v>
      </c>
      <c r="D2" s="223" t="s">
        <v>161</v>
      </c>
      <c r="E2" s="1163" t="s">
        <v>482</v>
      </c>
      <c r="F2" s="1163"/>
      <c r="G2" s="223" t="s">
        <v>713</v>
      </c>
      <c r="O2" s="440"/>
      <c r="P2" s="440"/>
      <c r="Q2" s="440"/>
    </row>
    <row r="3" spans="1:17" ht="15.75" customHeight="1">
      <c r="A3" s="245" t="s">
        <v>165</v>
      </c>
      <c r="B3" s="246" t="s">
        <v>477</v>
      </c>
      <c r="C3" s="1156" t="s">
        <v>566</v>
      </c>
      <c r="D3" s="1157"/>
      <c r="E3" s="247" t="s">
        <v>478</v>
      </c>
      <c r="F3" s="1158" t="s">
        <v>565</v>
      </c>
      <c r="G3" s="1159"/>
    </row>
    <row r="4" spans="1:17" s="229" customFormat="1" ht="47.25" customHeight="1">
      <c r="A4" s="245" t="s">
        <v>162</v>
      </c>
      <c r="B4" s="248" t="s">
        <v>513</v>
      </c>
      <c r="C4" s="248" t="s">
        <v>514</v>
      </c>
      <c r="D4" s="249" t="s">
        <v>163</v>
      </c>
      <c r="E4" s="250" t="s">
        <v>513</v>
      </c>
      <c r="F4" s="248" t="s">
        <v>514</v>
      </c>
      <c r="G4" s="248" t="s">
        <v>163</v>
      </c>
    </row>
    <row r="5" spans="1:17">
      <c r="A5" s="251">
        <v>1</v>
      </c>
      <c r="B5" s="252">
        <v>115942</v>
      </c>
      <c r="C5" s="253">
        <v>3987</v>
      </c>
      <c r="D5" s="254"/>
      <c r="E5" s="255">
        <v>5203</v>
      </c>
      <c r="F5" s="256">
        <v>3045</v>
      </c>
      <c r="G5" s="257"/>
    </row>
    <row r="6" spans="1:17" ht="15" customHeight="1">
      <c r="A6" s="251">
        <v>2</v>
      </c>
      <c r="B6" s="252">
        <v>6215</v>
      </c>
      <c r="C6" s="253">
        <v>6095</v>
      </c>
      <c r="D6" s="254"/>
      <c r="E6" s="255">
        <v>48326</v>
      </c>
      <c r="F6" s="258">
        <v>5203</v>
      </c>
      <c r="G6" s="257"/>
    </row>
    <row r="7" spans="1:17" ht="15" customHeight="1">
      <c r="A7" s="251">
        <v>3</v>
      </c>
      <c r="B7" s="252">
        <v>19048</v>
      </c>
      <c r="C7" s="253">
        <v>6215</v>
      </c>
      <c r="D7" s="259">
        <v>6215</v>
      </c>
      <c r="E7" s="255">
        <v>22191</v>
      </c>
      <c r="F7" s="258">
        <v>5338</v>
      </c>
      <c r="G7" s="258"/>
    </row>
    <row r="8" spans="1:17" ht="15" customHeight="1">
      <c r="A8" s="251">
        <v>4</v>
      </c>
      <c r="B8" s="252">
        <v>34783</v>
      </c>
      <c r="C8" s="253">
        <v>6917</v>
      </c>
      <c r="D8" s="259">
        <v>6917</v>
      </c>
      <c r="E8" s="255">
        <v>85474</v>
      </c>
      <c r="F8" s="258">
        <v>13918</v>
      </c>
      <c r="G8" s="258">
        <v>13918</v>
      </c>
    </row>
    <row r="9" spans="1:17" ht="15" customHeight="1">
      <c r="A9" s="251">
        <v>5</v>
      </c>
      <c r="B9" s="252">
        <v>23411</v>
      </c>
      <c r="C9" s="253">
        <v>19048</v>
      </c>
      <c r="D9" s="259">
        <v>19048</v>
      </c>
      <c r="E9" s="255">
        <v>13918</v>
      </c>
      <c r="F9" s="258">
        <v>15882</v>
      </c>
      <c r="G9" s="258">
        <v>15882</v>
      </c>
    </row>
    <row r="10" spans="1:17" ht="15" customHeight="1">
      <c r="A10" s="251">
        <v>6</v>
      </c>
      <c r="B10" s="252">
        <v>55691</v>
      </c>
      <c r="C10" s="253">
        <v>23411</v>
      </c>
      <c r="D10" s="259">
        <v>23411</v>
      </c>
      <c r="E10" s="255">
        <v>3045</v>
      </c>
      <c r="F10" s="258">
        <v>22191</v>
      </c>
      <c r="G10" s="258">
        <v>22191</v>
      </c>
    </row>
    <row r="11" spans="1:17" ht="15.75" customHeight="1">
      <c r="A11" s="251">
        <v>7</v>
      </c>
      <c r="B11" s="252">
        <v>34765</v>
      </c>
      <c r="C11" s="253">
        <v>27368</v>
      </c>
      <c r="D11" s="259">
        <v>27368</v>
      </c>
      <c r="E11" s="255">
        <v>5338</v>
      </c>
      <c r="F11" s="258">
        <v>24359</v>
      </c>
      <c r="G11" s="258">
        <v>24359</v>
      </c>
    </row>
    <row r="12" spans="1:17" ht="15" customHeight="1">
      <c r="A12" s="251">
        <v>8</v>
      </c>
      <c r="B12" s="252">
        <v>6917</v>
      </c>
      <c r="C12" s="253">
        <v>34765</v>
      </c>
      <c r="D12" s="259">
        <v>34765</v>
      </c>
      <c r="E12" s="255">
        <v>15882</v>
      </c>
      <c r="F12" s="258">
        <v>25645</v>
      </c>
      <c r="G12" s="258">
        <v>25645</v>
      </c>
    </row>
    <row r="13" spans="1:17" ht="15" customHeight="1">
      <c r="A13" s="251">
        <v>9</v>
      </c>
      <c r="B13" s="252">
        <v>6095</v>
      </c>
      <c r="C13" s="253">
        <v>34783</v>
      </c>
      <c r="D13" s="260"/>
      <c r="E13" s="255">
        <v>24359</v>
      </c>
      <c r="F13" s="258">
        <v>32800</v>
      </c>
      <c r="G13" s="258">
        <v>32800</v>
      </c>
    </row>
    <row r="14" spans="1:17" ht="15" customHeight="1">
      <c r="A14" s="251">
        <v>10</v>
      </c>
      <c r="B14" s="252">
        <v>3987</v>
      </c>
      <c r="C14" s="253">
        <v>55691</v>
      </c>
      <c r="D14" s="260"/>
      <c r="E14" s="255">
        <v>32800</v>
      </c>
      <c r="F14" s="258">
        <v>39171</v>
      </c>
      <c r="G14" s="261"/>
    </row>
    <row r="15" spans="1:17">
      <c r="A15" s="251">
        <v>11</v>
      </c>
      <c r="B15" s="252">
        <v>27368</v>
      </c>
      <c r="C15" s="253">
        <v>115942</v>
      </c>
      <c r="D15" s="262"/>
      <c r="E15" s="255">
        <v>42781</v>
      </c>
      <c r="F15" s="258">
        <v>42781</v>
      </c>
      <c r="G15" s="263"/>
    </row>
    <row r="16" spans="1:17">
      <c r="A16" s="251">
        <v>12</v>
      </c>
      <c r="B16" s="264"/>
      <c r="C16" s="264"/>
      <c r="D16" s="260"/>
      <c r="E16" s="255">
        <v>25645</v>
      </c>
      <c r="F16" s="258">
        <v>48326</v>
      </c>
      <c r="G16" s="263"/>
    </row>
    <row r="17" spans="1:7">
      <c r="A17" s="251">
        <v>13</v>
      </c>
      <c r="B17" s="264"/>
      <c r="C17" s="264"/>
      <c r="D17" s="260"/>
      <c r="E17" s="255">
        <v>39171</v>
      </c>
      <c r="F17" s="258">
        <v>85474</v>
      </c>
      <c r="G17" s="263"/>
    </row>
    <row r="18" spans="1:7">
      <c r="A18" s="251">
        <v>14</v>
      </c>
      <c r="B18" s="265"/>
      <c r="C18" s="265"/>
      <c r="D18" s="265"/>
      <c r="E18" s="266"/>
      <c r="F18" s="267"/>
      <c r="G18" s="268"/>
    </row>
    <row r="19" spans="1:7">
      <c r="A19" s="251">
        <v>15</v>
      </c>
      <c r="B19" s="264"/>
      <c r="C19" s="264"/>
      <c r="D19" s="264"/>
      <c r="E19" s="266"/>
      <c r="F19" s="267"/>
      <c r="G19" s="269"/>
    </row>
    <row r="20" spans="1:7">
      <c r="A20" s="251">
        <v>16</v>
      </c>
      <c r="B20" s="270"/>
      <c r="C20" s="270"/>
      <c r="D20" s="270"/>
      <c r="E20" s="271"/>
      <c r="F20" s="267"/>
      <c r="G20" s="269"/>
    </row>
    <row r="21" spans="1:7">
      <c r="A21" s="251">
        <v>17</v>
      </c>
      <c r="B21" s="270"/>
      <c r="C21" s="270"/>
      <c r="D21" s="270"/>
      <c r="E21" s="271"/>
      <c r="F21" s="267"/>
      <c r="G21" s="269"/>
    </row>
    <row r="22" spans="1:7">
      <c r="A22" s="251">
        <v>18</v>
      </c>
      <c r="B22" s="270"/>
      <c r="C22" s="270"/>
      <c r="D22" s="270"/>
      <c r="E22" s="271"/>
      <c r="F22" s="267"/>
      <c r="G22" s="269"/>
    </row>
    <row r="23" spans="1:7">
      <c r="A23" s="251">
        <v>19</v>
      </c>
      <c r="B23" s="272"/>
      <c r="C23" s="272"/>
      <c r="D23" s="272"/>
      <c r="E23" s="271"/>
      <c r="F23" s="267"/>
      <c r="G23" s="269"/>
    </row>
    <row r="24" spans="1:7">
      <c r="A24" s="251">
        <v>20</v>
      </c>
      <c r="B24" s="270"/>
      <c r="C24" s="270"/>
      <c r="D24" s="270"/>
      <c r="E24" s="271"/>
      <c r="F24" s="267"/>
      <c r="G24" s="269"/>
    </row>
    <row r="25" spans="1:7">
      <c r="A25" s="251">
        <v>21</v>
      </c>
      <c r="B25" s="272"/>
      <c r="C25" s="272"/>
      <c r="D25" s="272"/>
      <c r="E25" s="271"/>
      <c r="F25" s="267"/>
      <c r="G25" s="269"/>
    </row>
    <row r="26" spans="1:7">
      <c r="A26" s="251">
        <v>22</v>
      </c>
      <c r="B26" s="270"/>
      <c r="C26" s="270"/>
      <c r="D26" s="270"/>
      <c r="E26" s="271"/>
      <c r="F26" s="267"/>
      <c r="G26" s="269"/>
    </row>
    <row r="27" spans="1:7">
      <c r="A27" s="251">
        <v>23</v>
      </c>
      <c r="B27" s="272"/>
      <c r="C27" s="272"/>
      <c r="D27" s="272"/>
      <c r="E27" s="271"/>
      <c r="F27" s="267"/>
      <c r="G27" s="269"/>
    </row>
    <row r="28" spans="1:7">
      <c r="A28" s="251">
        <v>24</v>
      </c>
      <c r="B28" s="270"/>
      <c r="C28" s="270"/>
      <c r="D28" s="270"/>
      <c r="E28" s="271"/>
      <c r="F28" s="267"/>
      <c r="G28" s="269"/>
    </row>
    <row r="29" spans="1:7">
      <c r="A29" s="251">
        <v>25</v>
      </c>
      <c r="B29" s="273"/>
      <c r="C29" s="273"/>
      <c r="D29" s="274"/>
      <c r="E29" s="271"/>
      <c r="F29" s="267"/>
      <c r="G29" s="269"/>
    </row>
    <row r="30" spans="1:7">
      <c r="A30" s="251">
        <v>26</v>
      </c>
      <c r="B30" s="270"/>
      <c r="C30" s="270"/>
      <c r="D30" s="274"/>
      <c r="E30" s="271"/>
      <c r="F30" s="267"/>
      <c r="G30" s="269"/>
    </row>
    <row r="31" spans="1:7">
      <c r="A31" s="251">
        <v>27</v>
      </c>
      <c r="B31" s="270"/>
      <c r="C31" s="270"/>
      <c r="D31" s="274"/>
      <c r="E31" s="271"/>
      <c r="F31" s="267"/>
      <c r="G31" s="269"/>
    </row>
    <row r="32" spans="1:7">
      <c r="A32" s="251">
        <v>28</v>
      </c>
      <c r="B32" s="270"/>
      <c r="C32" s="270"/>
      <c r="D32" s="274"/>
      <c r="E32" s="271"/>
      <c r="F32" s="267"/>
      <c r="G32" s="269"/>
    </row>
    <row r="33" spans="1:7">
      <c r="A33" s="251">
        <v>29</v>
      </c>
      <c r="B33" s="270"/>
      <c r="C33" s="270"/>
      <c r="D33" s="274"/>
      <c r="E33" s="271"/>
      <c r="F33" s="267"/>
      <c r="G33" s="269"/>
    </row>
    <row r="34" spans="1:7">
      <c r="A34" s="251">
        <v>30</v>
      </c>
      <c r="B34" s="270"/>
      <c r="C34" s="270"/>
      <c r="D34" s="274"/>
      <c r="E34" s="271"/>
      <c r="F34" s="267"/>
      <c r="G34" s="269"/>
    </row>
    <row r="35" spans="1:7">
      <c r="A35" s="251">
        <v>31</v>
      </c>
      <c r="B35" s="270"/>
      <c r="C35" s="270"/>
      <c r="D35" s="274"/>
      <c r="E35" s="271"/>
      <c r="F35" s="267"/>
      <c r="G35" s="269"/>
    </row>
    <row r="36" spans="1:7">
      <c r="A36" s="251">
        <v>32</v>
      </c>
      <c r="B36" s="270"/>
      <c r="C36" s="270"/>
      <c r="D36" s="274"/>
      <c r="E36" s="275"/>
      <c r="F36" s="267"/>
      <c r="G36" s="276"/>
    </row>
    <row r="37" spans="1:7">
      <c r="A37" s="251">
        <v>33</v>
      </c>
      <c r="B37" s="270"/>
      <c r="C37" s="270"/>
      <c r="D37" s="274"/>
      <c r="E37" s="271"/>
      <c r="F37" s="267"/>
      <c r="G37" s="276"/>
    </row>
    <row r="38" spans="1:7">
      <c r="A38" s="251">
        <v>34</v>
      </c>
      <c r="B38" s="270"/>
      <c r="C38" s="270"/>
      <c r="D38" s="274"/>
      <c r="E38" s="271"/>
      <c r="F38" s="267"/>
      <c r="G38" s="276"/>
    </row>
    <row r="39" spans="1:7" ht="15.75" thickBot="1">
      <c r="A39" s="277">
        <v>35</v>
      </c>
      <c r="B39" s="278"/>
      <c r="C39" s="278"/>
      <c r="D39" s="279"/>
      <c r="E39" s="280"/>
      <c r="F39" s="281"/>
      <c r="G39" s="282"/>
    </row>
    <row r="40" spans="1:7" ht="15.75">
      <c r="A40" s="1173" t="s">
        <v>164</v>
      </c>
      <c r="B40" s="1174"/>
      <c r="C40" s="283">
        <v>11</v>
      </c>
      <c r="D40" s="284">
        <v>6</v>
      </c>
      <c r="E40" s="285" t="s">
        <v>164</v>
      </c>
      <c r="F40" s="283">
        <v>13</v>
      </c>
      <c r="G40" s="283">
        <v>6</v>
      </c>
    </row>
    <row r="41" spans="1:7" ht="15.75">
      <c r="A41" s="1166" t="s">
        <v>166</v>
      </c>
      <c r="B41" s="1167"/>
      <c r="C41" s="251">
        <f>C40/4</f>
        <v>2.75</v>
      </c>
      <c r="D41" s="1164" t="s">
        <v>515</v>
      </c>
      <c r="E41" s="286" t="s">
        <v>166</v>
      </c>
      <c r="F41" s="251">
        <f>F40/4</f>
        <v>3.25</v>
      </c>
      <c r="G41" s="1154" t="s">
        <v>516</v>
      </c>
    </row>
    <row r="42" spans="1:7" ht="15.75">
      <c r="A42" s="1166" t="s">
        <v>167</v>
      </c>
      <c r="B42" s="1167"/>
      <c r="C42" s="251">
        <f>C40/4*3</f>
        <v>8.25</v>
      </c>
      <c r="D42" s="1165"/>
      <c r="E42" s="286" t="s">
        <v>167</v>
      </c>
      <c r="F42" s="251">
        <f>F40/4*3</f>
        <v>9.75</v>
      </c>
      <c r="G42" s="1155"/>
    </row>
    <row r="43" spans="1:7" ht="19.5" thickBot="1">
      <c r="A43" s="1170" t="s">
        <v>517</v>
      </c>
      <c r="B43" s="1171"/>
      <c r="C43" s="1172"/>
      <c r="D43" s="336">
        <f>AVERAGE(D7:D12)</f>
        <v>19620.666666666668</v>
      </c>
      <c r="E43" s="1168" t="s">
        <v>581</v>
      </c>
      <c r="F43" s="1169"/>
      <c r="G43" s="337">
        <f>AVERAGE(G8:G13)</f>
        <v>22465.833333333332</v>
      </c>
    </row>
    <row r="44" spans="1:7" ht="42" customHeight="1">
      <c r="A44" s="1136" t="s">
        <v>131</v>
      </c>
      <c r="B44" s="1160"/>
      <c r="C44" s="1161"/>
      <c r="D44" s="1162"/>
      <c r="E44" s="1162"/>
      <c r="F44" s="1162"/>
      <c r="G44" s="1162"/>
    </row>
    <row r="45" spans="1:7">
      <c r="A45" s="243" t="s">
        <v>454</v>
      </c>
    </row>
    <row r="46" spans="1:7" ht="15.75">
      <c r="A46" s="288" t="s">
        <v>452</v>
      </c>
    </row>
    <row r="47" spans="1:7" ht="15.75">
      <c r="A47" s="288"/>
    </row>
    <row r="48" spans="1:7" ht="21">
      <c r="A48" s="1145" t="s">
        <v>580</v>
      </c>
      <c r="B48" s="1146"/>
      <c r="C48" s="1146"/>
      <c r="D48" s="1146"/>
      <c r="E48" s="1146"/>
      <c r="F48" s="1146"/>
      <c r="G48" s="1146"/>
    </row>
    <row r="49" spans="1:7" ht="18">
      <c r="B49" s="223" t="s">
        <v>682</v>
      </c>
      <c r="C49" s="225"/>
      <c r="D49" s="223" t="s">
        <v>161</v>
      </c>
      <c r="E49" s="1163"/>
      <c r="F49" s="1163"/>
      <c r="G49" s="223" t="s">
        <v>453</v>
      </c>
    </row>
    <row r="50" spans="1:7" ht="15.75">
      <c r="A50" s="245" t="s">
        <v>165</v>
      </c>
      <c r="B50" s="246" t="s">
        <v>96</v>
      </c>
      <c r="C50" s="1156"/>
      <c r="D50" s="1157"/>
      <c r="E50" s="247" t="s">
        <v>95</v>
      </c>
      <c r="F50" s="1158"/>
      <c r="G50" s="1159"/>
    </row>
    <row r="51" spans="1:7" ht="34.5">
      <c r="A51" s="245" t="s">
        <v>162</v>
      </c>
      <c r="B51" s="248" t="s">
        <v>513</v>
      </c>
      <c r="C51" s="248" t="s">
        <v>514</v>
      </c>
      <c r="D51" s="249" t="s">
        <v>163</v>
      </c>
      <c r="E51" s="250" t="s">
        <v>513</v>
      </c>
      <c r="F51" s="248" t="s">
        <v>514</v>
      </c>
      <c r="G51" s="248" t="s">
        <v>163</v>
      </c>
    </row>
    <row r="52" spans="1:7">
      <c r="A52" s="251"/>
      <c r="B52" s="289"/>
      <c r="C52" s="289"/>
      <c r="D52" s="290"/>
      <c r="E52" s="271"/>
      <c r="F52" s="291"/>
      <c r="G52" s="276"/>
    </row>
    <row r="53" spans="1:7">
      <c r="A53" s="251"/>
      <c r="B53" s="289"/>
      <c r="C53" s="289"/>
      <c r="D53" s="290"/>
      <c r="E53" s="271"/>
      <c r="F53" s="291"/>
      <c r="G53" s="276"/>
    </row>
    <row r="54" spans="1:7">
      <c r="A54" s="251"/>
      <c r="B54" s="289"/>
      <c r="C54" s="289"/>
      <c r="D54" s="290"/>
      <c r="E54" s="271"/>
      <c r="F54" s="291"/>
      <c r="G54" s="276"/>
    </row>
    <row r="55" spans="1:7">
      <c r="A55" s="251"/>
      <c r="B55" s="289"/>
      <c r="C55" s="289"/>
      <c r="D55" s="290"/>
      <c r="E55" s="271"/>
      <c r="F55" s="291"/>
      <c r="G55" s="276"/>
    </row>
    <row r="56" spans="1:7">
      <c r="A56" s="251"/>
      <c r="B56" s="289"/>
      <c r="C56" s="289"/>
      <c r="D56" s="290"/>
      <c r="E56" s="271"/>
      <c r="F56" s="291"/>
      <c r="G56" s="276"/>
    </row>
    <row r="57" spans="1:7">
      <c r="A57" s="251"/>
      <c r="B57" s="289"/>
      <c r="C57" s="289"/>
      <c r="D57" s="290"/>
      <c r="E57" s="271"/>
      <c r="F57" s="291"/>
      <c r="G57" s="276"/>
    </row>
    <row r="58" spans="1:7">
      <c r="A58" s="251"/>
      <c r="B58" s="289"/>
      <c r="C58" s="289"/>
      <c r="D58" s="290"/>
      <c r="E58" s="271"/>
      <c r="F58" s="291"/>
      <c r="G58" s="292"/>
    </row>
    <row r="59" spans="1:7">
      <c r="A59" s="251"/>
      <c r="B59" s="289"/>
      <c r="C59" s="289"/>
      <c r="D59" s="290"/>
      <c r="E59" s="293"/>
      <c r="F59" s="289"/>
      <c r="G59" s="292"/>
    </row>
    <row r="60" spans="1:7">
      <c r="A60" s="251"/>
      <c r="B60" s="289"/>
      <c r="C60" s="289"/>
      <c r="D60" s="290"/>
      <c r="E60" s="293"/>
      <c r="F60" s="289"/>
      <c r="G60" s="292"/>
    </row>
    <row r="61" spans="1:7">
      <c r="A61" s="251"/>
      <c r="B61" s="289"/>
      <c r="C61" s="289"/>
      <c r="D61" s="290"/>
      <c r="E61" s="293"/>
      <c r="F61" s="289"/>
      <c r="G61" s="292"/>
    </row>
    <row r="62" spans="1:7">
      <c r="A62" s="251"/>
      <c r="B62" s="289"/>
      <c r="C62" s="289"/>
      <c r="D62" s="290"/>
      <c r="E62" s="293"/>
      <c r="F62" s="289"/>
      <c r="G62" s="292"/>
    </row>
    <row r="63" spans="1:7">
      <c r="A63" s="251"/>
      <c r="B63" s="289"/>
      <c r="C63" s="289"/>
      <c r="D63" s="290"/>
      <c r="E63" s="293"/>
      <c r="F63" s="289"/>
      <c r="G63" s="292"/>
    </row>
    <row r="64" spans="1:7">
      <c r="A64" s="251"/>
      <c r="B64" s="289"/>
      <c r="C64" s="289"/>
      <c r="D64" s="290"/>
      <c r="E64" s="293"/>
      <c r="F64" s="289"/>
      <c r="G64" s="292"/>
    </row>
    <row r="65" spans="1:7">
      <c r="A65" s="251"/>
      <c r="B65" s="289"/>
      <c r="C65" s="289"/>
      <c r="D65" s="290"/>
      <c r="E65" s="293"/>
      <c r="F65" s="289"/>
      <c r="G65" s="292"/>
    </row>
    <row r="66" spans="1:7">
      <c r="A66" s="251"/>
      <c r="B66" s="289"/>
      <c r="C66" s="289"/>
      <c r="D66" s="290"/>
      <c r="E66" s="293"/>
      <c r="F66" s="289"/>
      <c r="G66" s="292"/>
    </row>
    <row r="67" spans="1:7">
      <c r="A67" s="251"/>
      <c r="B67" s="289"/>
      <c r="C67" s="289"/>
      <c r="D67" s="290"/>
      <c r="E67" s="293"/>
      <c r="F67" s="289"/>
      <c r="G67" s="292"/>
    </row>
    <row r="68" spans="1:7">
      <c r="A68" s="251"/>
      <c r="B68" s="289"/>
      <c r="C68" s="289"/>
      <c r="D68" s="290"/>
      <c r="E68" s="293"/>
      <c r="F68" s="289"/>
      <c r="G68" s="292"/>
    </row>
    <row r="69" spans="1:7">
      <c r="A69" s="251"/>
      <c r="B69" s="289"/>
      <c r="C69" s="289"/>
      <c r="D69" s="290"/>
      <c r="E69" s="293"/>
      <c r="F69" s="289"/>
      <c r="G69" s="292"/>
    </row>
    <row r="70" spans="1:7">
      <c r="A70" s="251"/>
      <c r="B70" s="289"/>
      <c r="C70" s="289"/>
      <c r="D70" s="290"/>
      <c r="E70" s="293"/>
      <c r="F70" s="289"/>
      <c r="G70" s="292"/>
    </row>
    <row r="71" spans="1:7">
      <c r="A71" s="251"/>
      <c r="B71" s="289"/>
      <c r="C71" s="289"/>
      <c r="D71" s="290"/>
      <c r="E71" s="293"/>
      <c r="F71" s="289"/>
      <c r="G71" s="292"/>
    </row>
    <row r="72" spans="1:7">
      <c r="A72" s="251"/>
      <c r="B72" s="289"/>
      <c r="C72" s="289"/>
      <c r="D72" s="290"/>
      <c r="E72" s="293"/>
      <c r="F72" s="289"/>
      <c r="G72" s="292"/>
    </row>
    <row r="73" spans="1:7">
      <c r="A73" s="251"/>
      <c r="B73" s="289"/>
      <c r="C73" s="289"/>
      <c r="D73" s="290"/>
      <c r="E73" s="293"/>
      <c r="F73" s="289"/>
      <c r="G73" s="292"/>
    </row>
    <row r="74" spans="1:7">
      <c r="A74" s="251"/>
      <c r="B74" s="289"/>
      <c r="C74" s="289"/>
      <c r="D74" s="290"/>
      <c r="E74" s="293"/>
      <c r="F74" s="289"/>
      <c r="G74" s="292"/>
    </row>
    <row r="75" spans="1:7">
      <c r="A75" s="251"/>
      <c r="B75" s="289"/>
      <c r="C75" s="289"/>
      <c r="D75" s="290"/>
      <c r="E75" s="293"/>
      <c r="F75" s="289"/>
      <c r="G75" s="292"/>
    </row>
    <row r="76" spans="1:7">
      <c r="A76" s="251"/>
      <c r="B76" s="289"/>
      <c r="C76" s="289"/>
      <c r="D76" s="294"/>
      <c r="E76" s="293"/>
      <c r="F76" s="289"/>
      <c r="G76" s="292"/>
    </row>
    <row r="77" spans="1:7">
      <c r="A77" s="251"/>
      <c r="B77" s="289"/>
      <c r="C77" s="289"/>
      <c r="D77" s="295"/>
      <c r="E77" s="293"/>
      <c r="F77" s="289"/>
      <c r="G77" s="292"/>
    </row>
    <row r="78" spans="1:7">
      <c r="A78" s="251"/>
      <c r="B78" s="289"/>
      <c r="C78" s="289"/>
      <c r="D78" s="295"/>
      <c r="E78" s="293"/>
      <c r="F78" s="289"/>
      <c r="G78" s="292"/>
    </row>
    <row r="79" spans="1:7">
      <c r="A79" s="251"/>
      <c r="B79" s="289"/>
      <c r="C79" s="289"/>
      <c r="D79" s="295"/>
      <c r="E79" s="293"/>
      <c r="F79" s="289"/>
      <c r="G79" s="289"/>
    </row>
    <row r="80" spans="1:7">
      <c r="A80" s="251"/>
      <c r="B80" s="289"/>
      <c r="C80" s="289"/>
      <c r="D80" s="295"/>
      <c r="E80" s="293"/>
      <c r="F80" s="289"/>
      <c r="G80" s="289"/>
    </row>
    <row r="81" spans="1:7">
      <c r="A81" s="251"/>
      <c r="B81" s="289"/>
      <c r="C81" s="289"/>
      <c r="D81" s="295"/>
      <c r="E81" s="293"/>
      <c r="F81" s="289"/>
      <c r="G81" s="289"/>
    </row>
    <row r="82" spans="1:7">
      <c r="A82" s="251"/>
      <c r="B82" s="289"/>
      <c r="C82" s="289"/>
      <c r="D82" s="294"/>
      <c r="E82" s="293"/>
      <c r="F82" s="289"/>
      <c r="G82" s="289"/>
    </row>
    <row r="83" spans="1:7">
      <c r="A83" s="251"/>
      <c r="B83" s="289"/>
      <c r="C83" s="289"/>
      <c r="D83" s="294"/>
      <c r="E83" s="293"/>
      <c r="F83" s="289"/>
      <c r="G83" s="289"/>
    </row>
    <row r="84" spans="1:7">
      <c r="A84" s="251"/>
      <c r="B84" s="289"/>
      <c r="C84" s="289"/>
      <c r="D84" s="294"/>
      <c r="E84" s="293"/>
      <c r="F84" s="289"/>
      <c r="G84" s="289"/>
    </row>
    <row r="85" spans="1:7">
      <c r="A85" s="251"/>
      <c r="B85" s="289"/>
      <c r="C85" s="289"/>
      <c r="D85" s="294"/>
      <c r="E85" s="293"/>
      <c r="F85" s="289"/>
      <c r="G85" s="289"/>
    </row>
    <row r="86" spans="1:7">
      <c r="A86" s="251"/>
      <c r="B86" s="289"/>
      <c r="C86" s="289"/>
      <c r="D86" s="294"/>
      <c r="E86" s="293"/>
      <c r="F86" s="289"/>
      <c r="G86" s="289"/>
    </row>
    <row r="87" spans="1:7">
      <c r="A87" s="251"/>
      <c r="B87" s="289"/>
      <c r="C87" s="289"/>
      <c r="D87" s="294"/>
      <c r="E87" s="293"/>
      <c r="F87" s="289"/>
      <c r="G87" s="289"/>
    </row>
    <row r="88" spans="1:7">
      <c r="A88" s="251"/>
      <c r="B88" s="289"/>
      <c r="C88" s="289"/>
      <c r="D88" s="294"/>
      <c r="E88" s="293"/>
      <c r="F88" s="289"/>
      <c r="G88" s="289"/>
    </row>
    <row r="89" spans="1:7">
      <c r="A89" s="251"/>
      <c r="B89" s="289"/>
      <c r="C89" s="289"/>
      <c r="D89" s="294"/>
      <c r="E89" s="293"/>
      <c r="F89" s="289"/>
      <c r="G89" s="289"/>
    </row>
    <row r="90" spans="1:7">
      <c r="A90" s="251"/>
      <c r="B90" s="289"/>
      <c r="C90" s="289"/>
      <c r="D90" s="294"/>
      <c r="E90" s="293"/>
      <c r="F90" s="289"/>
      <c r="G90" s="289"/>
    </row>
    <row r="91" spans="1:7">
      <c r="A91" s="251"/>
      <c r="B91" s="296"/>
      <c r="C91" s="296"/>
      <c r="D91" s="287"/>
      <c r="E91" s="293"/>
      <c r="F91" s="289"/>
      <c r="G91" s="292"/>
    </row>
    <row r="92" spans="1:7">
      <c r="A92" s="251"/>
      <c r="B92" s="296"/>
      <c r="C92" s="296"/>
      <c r="D92" s="287"/>
      <c r="E92" s="293"/>
      <c r="F92" s="289"/>
      <c r="G92" s="292"/>
    </row>
    <row r="93" spans="1:7">
      <c r="A93" s="251"/>
      <c r="B93" s="296"/>
      <c r="C93" s="296"/>
      <c r="D93" s="287"/>
      <c r="E93" s="293"/>
      <c r="F93" s="289"/>
      <c r="G93" s="292"/>
    </row>
    <row r="94" spans="1:7">
      <c r="A94" s="251"/>
      <c r="B94" s="296"/>
      <c r="C94" s="296"/>
      <c r="D94" s="287"/>
      <c r="E94" s="293"/>
      <c r="F94" s="289"/>
      <c r="G94" s="292"/>
    </row>
    <row r="95" spans="1:7">
      <c r="A95" s="251"/>
      <c r="B95" s="296"/>
      <c r="C95" s="296"/>
      <c r="D95" s="287"/>
      <c r="E95" s="293"/>
      <c r="F95" s="289"/>
      <c r="G95" s="292"/>
    </row>
    <row r="96" spans="1:7">
      <c r="A96" s="251"/>
      <c r="B96" s="296"/>
      <c r="C96" s="296"/>
      <c r="D96" s="287"/>
      <c r="E96" s="297"/>
      <c r="F96" s="292"/>
      <c r="G96" s="292"/>
    </row>
  </sheetData>
  <mergeCells count="17">
    <mergeCell ref="A40:B40"/>
    <mergeCell ref="A1:G1"/>
    <mergeCell ref="C3:D3"/>
    <mergeCell ref="F3:G3"/>
    <mergeCell ref="E2:F2"/>
    <mergeCell ref="G41:G42"/>
    <mergeCell ref="C50:D50"/>
    <mergeCell ref="F50:G50"/>
    <mergeCell ref="A48:G48"/>
    <mergeCell ref="A44:B44"/>
    <mergeCell ref="C44:G44"/>
    <mergeCell ref="E49:F49"/>
    <mergeCell ref="D41:D42"/>
    <mergeCell ref="A42:B42"/>
    <mergeCell ref="A41:B41"/>
    <mergeCell ref="E43:F43"/>
    <mergeCell ref="A43:C43"/>
  </mergeCells>
  <phoneticPr fontId="3" type="noConversion"/>
  <printOptions horizontalCentered="1" verticalCentered="1"/>
  <pageMargins left="0.23622047244094491" right="0.23622047244094491" top="0.4" bottom="0.46" header="0.31496062992125984" footer="0.31496062992125984"/>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9057C-1FFF-4097-9CF7-6CCD99BDDF30}">
  <sheetPr>
    <tabColor indexed="48"/>
    <pageSetUpPr fitToPage="1"/>
  </sheetPr>
  <dimension ref="A1:Q96"/>
  <sheetViews>
    <sheetView topLeftCell="A22" zoomScaleNormal="178" workbookViewId="0">
      <selection activeCell="O2" sqref="O2:Q2"/>
    </sheetView>
  </sheetViews>
  <sheetFormatPr defaultColWidth="15.625" defaultRowHeight="15"/>
  <cols>
    <col min="1" max="1" width="5.625" style="222" customWidth="1"/>
    <col min="2" max="4" width="12.625" style="224" customWidth="1"/>
    <col min="5" max="7" width="12.625" style="222" customWidth="1"/>
    <col min="8" max="16384" width="15.625" style="222"/>
  </cols>
  <sheetData>
    <row r="1" spans="1:17" ht="23.25" customHeight="1">
      <c r="A1" s="1145" t="s">
        <v>681</v>
      </c>
      <c r="B1" s="1146"/>
      <c r="C1" s="1146"/>
      <c r="D1" s="1146"/>
      <c r="E1" s="1146"/>
      <c r="F1" s="1146"/>
      <c r="G1" s="1146"/>
    </row>
    <row r="2" spans="1:17" ht="49.5" customHeight="1">
      <c r="B2" s="223" t="s">
        <v>682</v>
      </c>
      <c r="C2" s="225" t="s">
        <v>479</v>
      </c>
      <c r="D2" s="225" t="s">
        <v>161</v>
      </c>
      <c r="E2" s="1163" t="s">
        <v>480</v>
      </c>
      <c r="F2" s="1163"/>
      <c r="G2" s="223" t="s">
        <v>713</v>
      </c>
      <c r="O2" s="440"/>
      <c r="P2" s="440"/>
      <c r="Q2" s="440"/>
    </row>
    <row r="3" spans="1:17" ht="15.75" customHeight="1">
      <c r="A3" s="245" t="s">
        <v>165</v>
      </c>
      <c r="B3" s="246" t="s">
        <v>477</v>
      </c>
      <c r="C3" s="1156" t="s">
        <v>566</v>
      </c>
      <c r="D3" s="1157"/>
      <c r="E3" s="247" t="s">
        <v>478</v>
      </c>
      <c r="F3" s="1158" t="s">
        <v>565</v>
      </c>
      <c r="G3" s="1159"/>
    </row>
    <row r="4" spans="1:17" s="229" customFormat="1" ht="47.25" customHeight="1">
      <c r="A4" s="245" t="s">
        <v>162</v>
      </c>
      <c r="B4" s="248" t="s">
        <v>513</v>
      </c>
      <c r="C4" s="248" t="s">
        <v>514</v>
      </c>
      <c r="D4" s="249" t="s">
        <v>163</v>
      </c>
      <c r="E4" s="250" t="s">
        <v>513</v>
      </c>
      <c r="F4" s="248" t="s">
        <v>514</v>
      </c>
      <c r="G4" s="248" t="s">
        <v>163</v>
      </c>
    </row>
    <row r="5" spans="1:17">
      <c r="A5" s="251">
        <v>1</v>
      </c>
      <c r="B5" s="252">
        <v>1227</v>
      </c>
      <c r="C5" s="252">
        <v>844</v>
      </c>
      <c r="D5" s="298"/>
      <c r="E5" s="299">
        <v>4841</v>
      </c>
      <c r="F5" s="300">
        <v>838</v>
      </c>
      <c r="G5" s="301"/>
    </row>
    <row r="6" spans="1:17" ht="15" customHeight="1">
      <c r="A6" s="251">
        <v>2</v>
      </c>
      <c r="B6" s="252">
        <v>1500</v>
      </c>
      <c r="C6" s="252">
        <v>894</v>
      </c>
      <c r="D6" s="274"/>
      <c r="E6" s="299">
        <v>999</v>
      </c>
      <c r="F6" s="300">
        <v>875</v>
      </c>
      <c r="G6" s="301"/>
    </row>
    <row r="7" spans="1:17" ht="15" customHeight="1">
      <c r="A7" s="251">
        <v>3</v>
      </c>
      <c r="B7" s="252">
        <v>5398</v>
      </c>
      <c r="C7" s="252">
        <v>901</v>
      </c>
      <c r="D7" s="302">
        <v>901</v>
      </c>
      <c r="E7" s="299">
        <v>875</v>
      </c>
      <c r="F7" s="300">
        <v>904</v>
      </c>
      <c r="G7" s="303"/>
    </row>
    <row r="8" spans="1:17" ht="15" customHeight="1">
      <c r="A8" s="251">
        <v>4</v>
      </c>
      <c r="B8" s="252">
        <v>844</v>
      </c>
      <c r="C8" s="252">
        <v>940</v>
      </c>
      <c r="D8" s="302">
        <v>940</v>
      </c>
      <c r="E8" s="299">
        <v>3968</v>
      </c>
      <c r="F8" s="300">
        <v>999</v>
      </c>
      <c r="G8" s="303">
        <v>999</v>
      </c>
    </row>
    <row r="9" spans="1:17" ht="15" customHeight="1">
      <c r="A9" s="251">
        <v>5</v>
      </c>
      <c r="B9" s="252">
        <v>894</v>
      </c>
      <c r="C9" s="252">
        <v>1040</v>
      </c>
      <c r="D9" s="302">
        <v>1040</v>
      </c>
      <c r="E9" s="299">
        <v>5246</v>
      </c>
      <c r="F9" s="300">
        <v>1004</v>
      </c>
      <c r="G9" s="303">
        <v>1004</v>
      </c>
    </row>
    <row r="10" spans="1:17" ht="15" customHeight="1">
      <c r="A10" s="251">
        <v>6</v>
      </c>
      <c r="B10" s="252">
        <v>1040</v>
      </c>
      <c r="C10" s="252">
        <v>1169</v>
      </c>
      <c r="D10" s="302">
        <v>1169</v>
      </c>
      <c r="E10" s="299">
        <v>5541</v>
      </c>
      <c r="F10" s="300">
        <v>1056</v>
      </c>
      <c r="G10" s="303">
        <v>1056</v>
      </c>
    </row>
    <row r="11" spans="1:17" ht="15.75" customHeight="1">
      <c r="A11" s="251">
        <v>7</v>
      </c>
      <c r="B11" s="252">
        <v>1169</v>
      </c>
      <c r="C11" s="252">
        <v>1227</v>
      </c>
      <c r="D11" s="302">
        <v>1227</v>
      </c>
      <c r="E11" s="299">
        <v>1394</v>
      </c>
      <c r="F11" s="300">
        <v>1298</v>
      </c>
      <c r="G11" s="303">
        <v>1298</v>
      </c>
    </row>
    <row r="12" spans="1:17" ht="15" customHeight="1">
      <c r="A12" s="251">
        <v>8</v>
      </c>
      <c r="B12" s="252">
        <v>1261</v>
      </c>
      <c r="C12" s="252">
        <v>1261</v>
      </c>
      <c r="D12" s="302">
        <v>1261</v>
      </c>
      <c r="E12" s="299">
        <v>1298</v>
      </c>
      <c r="F12" s="300">
        <v>1394</v>
      </c>
      <c r="G12" s="303">
        <v>1394</v>
      </c>
    </row>
    <row r="13" spans="1:17" ht="15" customHeight="1">
      <c r="A13" s="251">
        <v>9</v>
      </c>
      <c r="B13" s="252">
        <v>1265</v>
      </c>
      <c r="C13" s="252">
        <v>1265</v>
      </c>
      <c r="D13" s="262"/>
      <c r="E13" s="299">
        <v>838</v>
      </c>
      <c r="F13" s="300">
        <v>3968</v>
      </c>
      <c r="G13" s="303">
        <v>3968</v>
      </c>
    </row>
    <row r="14" spans="1:17" ht="15" customHeight="1">
      <c r="A14" s="251">
        <v>10</v>
      </c>
      <c r="B14" s="252">
        <v>901</v>
      </c>
      <c r="C14" s="252">
        <v>1500</v>
      </c>
      <c r="D14" s="262"/>
      <c r="E14" s="299">
        <v>1004</v>
      </c>
      <c r="F14" s="300">
        <v>4841</v>
      </c>
      <c r="G14" s="304"/>
    </row>
    <row r="15" spans="1:17">
      <c r="A15" s="251">
        <v>11</v>
      </c>
      <c r="B15" s="252">
        <v>940</v>
      </c>
      <c r="C15" s="252">
        <v>5398</v>
      </c>
      <c r="D15" s="262"/>
      <c r="E15" s="299">
        <v>1056</v>
      </c>
      <c r="F15" s="300">
        <v>5246</v>
      </c>
      <c r="G15" s="304"/>
    </row>
    <row r="16" spans="1:17">
      <c r="A16" s="251">
        <v>12</v>
      </c>
      <c r="B16" s="264"/>
      <c r="C16" s="265"/>
      <c r="D16" s="262"/>
      <c r="E16" s="299">
        <v>904</v>
      </c>
      <c r="F16" s="300">
        <v>5541</v>
      </c>
      <c r="G16" s="304"/>
    </row>
    <row r="17" spans="1:7">
      <c r="A17" s="251">
        <v>13</v>
      </c>
      <c r="B17" s="264"/>
      <c r="C17" s="265"/>
      <c r="D17" s="265"/>
      <c r="E17" s="305"/>
      <c r="F17" s="306"/>
      <c r="G17" s="306"/>
    </row>
    <row r="18" spans="1:7">
      <c r="A18" s="251">
        <v>14</v>
      </c>
      <c r="B18" s="265"/>
      <c r="C18" s="265"/>
      <c r="D18" s="265"/>
      <c r="E18" s="305"/>
      <c r="F18" s="306"/>
      <c r="G18" s="306"/>
    </row>
    <row r="19" spans="1:7">
      <c r="A19" s="251">
        <v>15</v>
      </c>
      <c r="B19" s="270"/>
      <c r="C19" s="272"/>
      <c r="D19" s="272"/>
      <c r="E19" s="307"/>
      <c r="F19" s="306"/>
      <c r="G19" s="306"/>
    </row>
    <row r="20" spans="1:7">
      <c r="A20" s="251">
        <v>16</v>
      </c>
      <c r="B20" s="270"/>
      <c r="C20" s="272"/>
      <c r="D20" s="272"/>
      <c r="E20" s="307"/>
      <c r="F20" s="306"/>
      <c r="G20" s="306"/>
    </row>
    <row r="21" spans="1:7">
      <c r="A21" s="251">
        <v>17</v>
      </c>
      <c r="B21" s="270"/>
      <c r="C21" s="272"/>
      <c r="D21" s="272"/>
      <c r="E21" s="307"/>
      <c r="F21" s="306"/>
      <c r="G21" s="306"/>
    </row>
    <row r="22" spans="1:7">
      <c r="A22" s="251">
        <v>18</v>
      </c>
      <c r="B22" s="270"/>
      <c r="C22" s="308"/>
      <c r="D22" s="308"/>
      <c r="E22" s="307"/>
      <c r="F22" s="306"/>
      <c r="G22" s="306"/>
    </row>
    <row r="23" spans="1:7">
      <c r="A23" s="251">
        <v>19</v>
      </c>
      <c r="B23" s="272"/>
      <c r="C23" s="272"/>
      <c r="D23" s="272"/>
      <c r="E23" s="307"/>
      <c r="F23" s="306"/>
      <c r="G23" s="306"/>
    </row>
    <row r="24" spans="1:7">
      <c r="A24" s="251">
        <v>20</v>
      </c>
      <c r="B24" s="270"/>
      <c r="C24" s="272"/>
      <c r="D24" s="272"/>
      <c r="E24" s="307"/>
      <c r="F24" s="306"/>
      <c r="G24" s="306"/>
    </row>
    <row r="25" spans="1:7">
      <c r="A25" s="251">
        <v>21</v>
      </c>
      <c r="B25" s="272"/>
      <c r="C25" s="272"/>
      <c r="D25" s="272"/>
      <c r="E25" s="307"/>
      <c r="F25" s="306"/>
      <c r="G25" s="306"/>
    </row>
    <row r="26" spans="1:7">
      <c r="A26" s="251">
        <v>22</v>
      </c>
      <c r="B26" s="270"/>
      <c r="C26" s="272"/>
      <c r="D26" s="272"/>
      <c r="E26" s="307"/>
      <c r="F26" s="306"/>
      <c r="G26" s="306"/>
    </row>
    <row r="27" spans="1:7">
      <c r="A27" s="251">
        <v>23</v>
      </c>
      <c r="B27" s="272"/>
      <c r="C27" s="272"/>
      <c r="D27" s="272"/>
      <c r="E27" s="307"/>
      <c r="F27" s="306"/>
      <c r="G27" s="306"/>
    </row>
    <row r="28" spans="1:7">
      <c r="A28" s="251">
        <v>24</v>
      </c>
      <c r="B28" s="270"/>
      <c r="C28" s="272"/>
      <c r="D28" s="272"/>
      <c r="E28" s="307"/>
      <c r="F28" s="306"/>
      <c r="G28" s="306"/>
    </row>
    <row r="29" spans="1:7">
      <c r="A29" s="251">
        <v>25</v>
      </c>
      <c r="B29" s="273"/>
      <c r="C29" s="272"/>
      <c r="D29" s="274"/>
      <c r="E29" s="307"/>
      <c r="F29" s="306"/>
      <c r="G29" s="306"/>
    </row>
    <row r="30" spans="1:7">
      <c r="A30" s="251">
        <v>26</v>
      </c>
      <c r="B30" s="270"/>
      <c r="C30" s="272"/>
      <c r="D30" s="274"/>
      <c r="E30" s="307"/>
      <c r="F30" s="306"/>
      <c r="G30" s="306"/>
    </row>
    <row r="31" spans="1:7">
      <c r="A31" s="251">
        <v>27</v>
      </c>
      <c r="B31" s="270"/>
      <c r="C31" s="272"/>
      <c r="D31" s="274"/>
      <c r="E31" s="307"/>
      <c r="F31" s="306"/>
      <c r="G31" s="306"/>
    </row>
    <row r="32" spans="1:7">
      <c r="A32" s="251">
        <v>28</v>
      </c>
      <c r="B32" s="270"/>
      <c r="C32" s="272"/>
      <c r="D32" s="274"/>
      <c r="E32" s="307"/>
      <c r="F32" s="306"/>
      <c r="G32" s="306"/>
    </row>
    <row r="33" spans="1:7">
      <c r="A33" s="251">
        <v>29</v>
      </c>
      <c r="B33" s="270"/>
      <c r="C33" s="272"/>
      <c r="D33" s="274"/>
      <c r="E33" s="307"/>
      <c r="F33" s="306"/>
      <c r="G33" s="306"/>
    </row>
    <row r="34" spans="1:7">
      <c r="A34" s="251">
        <v>30</v>
      </c>
      <c r="B34" s="270"/>
      <c r="C34" s="272"/>
      <c r="D34" s="274"/>
      <c r="E34" s="307"/>
      <c r="F34" s="306"/>
      <c r="G34" s="306"/>
    </row>
    <row r="35" spans="1:7">
      <c r="A35" s="251">
        <v>31</v>
      </c>
      <c r="B35" s="270"/>
      <c r="C35" s="272"/>
      <c r="D35" s="274"/>
      <c r="E35" s="307"/>
      <c r="F35" s="306"/>
      <c r="G35" s="309"/>
    </row>
    <row r="36" spans="1:7">
      <c r="A36" s="251">
        <v>32</v>
      </c>
      <c r="B36" s="270"/>
      <c r="C36" s="272"/>
      <c r="D36" s="274"/>
      <c r="E36" s="310"/>
      <c r="F36" s="309"/>
      <c r="G36" s="309"/>
    </row>
    <row r="37" spans="1:7">
      <c r="A37" s="251">
        <v>33</v>
      </c>
      <c r="B37" s="276"/>
      <c r="C37" s="276"/>
      <c r="D37" s="274"/>
      <c r="E37" s="307"/>
      <c r="F37" s="309"/>
      <c r="G37" s="309"/>
    </row>
    <row r="38" spans="1:7">
      <c r="A38" s="251">
        <v>34</v>
      </c>
      <c r="B38" s="276"/>
      <c r="C38" s="276"/>
      <c r="D38" s="274"/>
      <c r="E38" s="307"/>
      <c r="F38" s="309"/>
      <c r="G38" s="309"/>
    </row>
    <row r="39" spans="1:7" ht="15.75" thickBot="1">
      <c r="A39" s="277">
        <v>35</v>
      </c>
      <c r="B39" s="278"/>
      <c r="C39" s="278"/>
      <c r="D39" s="279"/>
      <c r="E39" s="311"/>
      <c r="F39" s="312"/>
      <c r="G39" s="312"/>
    </row>
    <row r="40" spans="1:7" ht="15.75">
      <c r="A40" s="1173" t="s">
        <v>164</v>
      </c>
      <c r="B40" s="1174"/>
      <c r="C40" s="283">
        <v>11</v>
      </c>
      <c r="D40" s="284">
        <v>6</v>
      </c>
      <c r="E40" s="285" t="s">
        <v>164</v>
      </c>
      <c r="F40" s="283">
        <v>12</v>
      </c>
      <c r="G40" s="283">
        <v>6</v>
      </c>
    </row>
    <row r="41" spans="1:7" ht="15.75">
      <c r="A41" s="1166" t="s">
        <v>166</v>
      </c>
      <c r="B41" s="1167"/>
      <c r="C41" s="251">
        <f>C40/4</f>
        <v>2.75</v>
      </c>
      <c r="D41" s="1164" t="s">
        <v>515</v>
      </c>
      <c r="E41" s="286" t="s">
        <v>166</v>
      </c>
      <c r="F41" s="251">
        <f>F40/4</f>
        <v>3</v>
      </c>
      <c r="G41" s="1154" t="s">
        <v>516</v>
      </c>
    </row>
    <row r="42" spans="1:7" ht="15.75">
      <c r="A42" s="1166" t="s">
        <v>167</v>
      </c>
      <c r="B42" s="1167"/>
      <c r="C42" s="251">
        <f>C40/4*3</f>
        <v>8.25</v>
      </c>
      <c r="D42" s="1178"/>
      <c r="E42" s="286" t="s">
        <v>167</v>
      </c>
      <c r="F42" s="251">
        <f>F40/4*3</f>
        <v>9</v>
      </c>
      <c r="G42" s="1155"/>
    </row>
    <row r="43" spans="1:7" ht="17.25" thickBot="1">
      <c r="A43" s="1170" t="s">
        <v>741</v>
      </c>
      <c r="B43" s="1171"/>
      <c r="C43" s="1177"/>
      <c r="D43" s="338">
        <f>AVERAGE(D7:D12)</f>
        <v>1089.6666666666667</v>
      </c>
      <c r="E43" s="1175" t="s">
        <v>742</v>
      </c>
      <c r="F43" s="1176"/>
      <c r="G43" s="282">
        <f>AVERAGE(G8:G13)</f>
        <v>1619.8333333333333</v>
      </c>
    </row>
    <row r="44" spans="1:7" ht="42" customHeight="1">
      <c r="A44" s="1136" t="s">
        <v>131</v>
      </c>
      <c r="B44" s="1160"/>
      <c r="C44" s="1162"/>
      <c r="D44" s="1162"/>
      <c r="E44" s="1162"/>
      <c r="F44" s="1162"/>
      <c r="G44" s="1162"/>
    </row>
    <row r="45" spans="1:7">
      <c r="A45" s="243" t="s">
        <v>454</v>
      </c>
    </row>
    <row r="46" spans="1:7" ht="15.75">
      <c r="A46" s="288" t="s">
        <v>452</v>
      </c>
    </row>
    <row r="47" spans="1:7" ht="15.75">
      <c r="A47" s="288"/>
    </row>
    <row r="48" spans="1:7" ht="21">
      <c r="A48" s="1145" t="s">
        <v>580</v>
      </c>
      <c r="B48" s="1146"/>
      <c r="C48" s="1146"/>
      <c r="D48" s="1146"/>
      <c r="E48" s="1146"/>
      <c r="F48" s="1146"/>
      <c r="G48" s="1146"/>
    </row>
    <row r="49" spans="1:7" ht="18">
      <c r="B49" s="223" t="s">
        <v>682</v>
      </c>
      <c r="C49" s="225"/>
      <c r="D49" s="225" t="s">
        <v>161</v>
      </c>
      <c r="E49" s="1163"/>
      <c r="F49" s="1163"/>
      <c r="G49" s="223" t="s">
        <v>453</v>
      </c>
    </row>
    <row r="50" spans="1:7" ht="15.75">
      <c r="A50" s="245" t="s">
        <v>165</v>
      </c>
      <c r="B50" s="246" t="s">
        <v>96</v>
      </c>
      <c r="C50" s="1156"/>
      <c r="D50" s="1157"/>
      <c r="E50" s="247" t="s">
        <v>95</v>
      </c>
      <c r="F50" s="1158"/>
      <c r="G50" s="1159"/>
    </row>
    <row r="51" spans="1:7" ht="34.5">
      <c r="A51" s="245" t="s">
        <v>162</v>
      </c>
      <c r="B51" s="248" t="s">
        <v>513</v>
      </c>
      <c r="C51" s="248" t="s">
        <v>514</v>
      </c>
      <c r="D51" s="249" t="s">
        <v>163</v>
      </c>
      <c r="E51" s="250" t="s">
        <v>513</v>
      </c>
      <c r="F51" s="248" t="s">
        <v>514</v>
      </c>
      <c r="G51" s="248" t="s">
        <v>163</v>
      </c>
    </row>
    <row r="52" spans="1:7">
      <c r="A52" s="251"/>
      <c r="B52" s="289"/>
      <c r="C52" s="289"/>
      <c r="D52" s="290"/>
      <c r="E52" s="271"/>
      <c r="F52" s="313"/>
      <c r="G52" s="276"/>
    </row>
    <row r="53" spans="1:7">
      <c r="A53" s="251"/>
      <c r="B53" s="289"/>
      <c r="C53" s="289"/>
      <c r="D53" s="290"/>
      <c r="E53" s="271"/>
      <c r="F53" s="313"/>
      <c r="G53" s="276"/>
    </row>
    <row r="54" spans="1:7">
      <c r="A54" s="251"/>
      <c r="B54" s="289"/>
      <c r="C54" s="289"/>
      <c r="D54" s="290"/>
      <c r="E54" s="271"/>
      <c r="F54" s="313"/>
      <c r="G54" s="276"/>
    </row>
    <row r="55" spans="1:7">
      <c r="A55" s="251"/>
      <c r="B55" s="289"/>
      <c r="C55" s="289"/>
      <c r="D55" s="290"/>
      <c r="E55" s="271"/>
      <c r="F55" s="313"/>
      <c r="G55" s="276"/>
    </row>
    <row r="56" spans="1:7">
      <c r="A56" s="251"/>
      <c r="B56" s="289"/>
      <c r="C56" s="289"/>
      <c r="D56" s="290"/>
      <c r="E56" s="271"/>
      <c r="F56" s="313"/>
      <c r="G56" s="276"/>
    </row>
    <row r="57" spans="1:7">
      <c r="A57" s="251"/>
      <c r="B57" s="289"/>
      <c r="C57" s="289"/>
      <c r="D57" s="290"/>
      <c r="E57" s="271"/>
      <c r="F57" s="313"/>
      <c r="G57" s="276"/>
    </row>
    <row r="58" spans="1:7">
      <c r="A58" s="251"/>
      <c r="B58" s="289"/>
      <c r="C58" s="289"/>
      <c r="D58" s="290"/>
      <c r="E58" s="293"/>
      <c r="F58" s="289"/>
      <c r="G58" s="292"/>
    </row>
    <row r="59" spans="1:7">
      <c r="A59" s="251"/>
      <c r="B59" s="289"/>
      <c r="C59" s="289"/>
      <c r="D59" s="290"/>
      <c r="E59" s="293"/>
      <c r="F59" s="289"/>
      <c r="G59" s="292"/>
    </row>
    <row r="60" spans="1:7">
      <c r="A60" s="251"/>
      <c r="B60" s="289"/>
      <c r="C60" s="289"/>
      <c r="D60" s="290"/>
      <c r="E60" s="293"/>
      <c r="F60" s="289"/>
      <c r="G60" s="292"/>
    </row>
    <row r="61" spans="1:7">
      <c r="A61" s="251"/>
      <c r="B61" s="289"/>
      <c r="C61" s="289"/>
      <c r="D61" s="290"/>
      <c r="E61" s="293"/>
      <c r="F61" s="289"/>
      <c r="G61" s="292"/>
    </row>
    <row r="62" spans="1:7">
      <c r="A62" s="251"/>
      <c r="B62" s="289"/>
      <c r="C62" s="289"/>
      <c r="D62" s="290"/>
      <c r="E62" s="293"/>
      <c r="F62" s="289"/>
      <c r="G62" s="292"/>
    </row>
    <row r="63" spans="1:7">
      <c r="A63" s="251"/>
      <c r="B63" s="289"/>
      <c r="C63" s="289"/>
      <c r="D63" s="290"/>
      <c r="E63" s="293"/>
      <c r="F63" s="289"/>
      <c r="G63" s="292"/>
    </row>
    <row r="64" spans="1:7">
      <c r="A64" s="251"/>
      <c r="B64" s="289"/>
      <c r="C64" s="289"/>
      <c r="D64" s="290"/>
      <c r="E64" s="293"/>
      <c r="F64" s="289"/>
      <c r="G64" s="292"/>
    </row>
    <row r="65" spans="1:7">
      <c r="A65" s="251"/>
      <c r="B65" s="289"/>
      <c r="C65" s="289"/>
      <c r="D65" s="290"/>
      <c r="E65" s="293"/>
      <c r="F65" s="289"/>
      <c r="G65" s="292"/>
    </row>
    <row r="66" spans="1:7">
      <c r="A66" s="251"/>
      <c r="B66" s="289"/>
      <c r="C66" s="289"/>
      <c r="D66" s="290"/>
      <c r="E66" s="293"/>
      <c r="F66" s="289"/>
      <c r="G66" s="292"/>
    </row>
    <row r="67" spans="1:7">
      <c r="A67" s="251"/>
      <c r="B67" s="289"/>
      <c r="C67" s="289"/>
      <c r="D67" s="290"/>
      <c r="E67" s="293"/>
      <c r="F67" s="289"/>
      <c r="G67" s="292"/>
    </row>
    <row r="68" spans="1:7">
      <c r="A68" s="251"/>
      <c r="B68" s="289"/>
      <c r="C68" s="289"/>
      <c r="D68" s="290"/>
      <c r="E68" s="293"/>
      <c r="F68" s="289"/>
      <c r="G68" s="292"/>
    </row>
    <row r="69" spans="1:7">
      <c r="A69" s="251"/>
      <c r="B69" s="289"/>
      <c r="C69" s="289"/>
      <c r="D69" s="290"/>
      <c r="E69" s="293"/>
      <c r="F69" s="289"/>
      <c r="G69" s="292"/>
    </row>
    <row r="70" spans="1:7">
      <c r="A70" s="251"/>
      <c r="B70" s="289"/>
      <c r="C70" s="289"/>
      <c r="D70" s="290"/>
      <c r="E70" s="293"/>
      <c r="F70" s="289"/>
      <c r="G70" s="292"/>
    </row>
    <row r="71" spans="1:7">
      <c r="A71" s="251"/>
      <c r="B71" s="289"/>
      <c r="C71" s="289"/>
      <c r="D71" s="290"/>
      <c r="E71" s="293"/>
      <c r="F71" s="289"/>
      <c r="G71" s="292"/>
    </row>
    <row r="72" spans="1:7">
      <c r="A72" s="251"/>
      <c r="B72" s="289"/>
      <c r="C72" s="289"/>
      <c r="D72" s="290"/>
      <c r="E72" s="293"/>
      <c r="F72" s="289"/>
      <c r="G72" s="292"/>
    </row>
    <row r="73" spans="1:7">
      <c r="A73" s="251"/>
      <c r="B73" s="289"/>
      <c r="C73" s="289"/>
      <c r="D73" s="290"/>
      <c r="E73" s="293"/>
      <c r="F73" s="289"/>
      <c r="G73" s="292"/>
    </row>
    <row r="74" spans="1:7">
      <c r="A74" s="251"/>
      <c r="B74" s="289"/>
      <c r="C74" s="289"/>
      <c r="D74" s="290"/>
      <c r="E74" s="293"/>
      <c r="F74" s="289"/>
      <c r="G74" s="292"/>
    </row>
    <row r="75" spans="1:7">
      <c r="A75" s="251"/>
      <c r="B75" s="289"/>
      <c r="C75" s="289"/>
      <c r="D75" s="290"/>
      <c r="E75" s="293"/>
      <c r="F75" s="289"/>
      <c r="G75" s="292"/>
    </row>
    <row r="76" spans="1:7">
      <c r="A76" s="251"/>
      <c r="B76" s="289"/>
      <c r="C76" s="289"/>
      <c r="D76" s="294"/>
      <c r="E76" s="293"/>
      <c r="F76" s="289"/>
      <c r="G76" s="292"/>
    </row>
    <row r="77" spans="1:7">
      <c r="A77" s="251"/>
      <c r="B77" s="289"/>
      <c r="C77" s="289"/>
      <c r="D77" s="295"/>
      <c r="E77" s="293"/>
      <c r="F77" s="289"/>
      <c r="G77" s="292"/>
    </row>
    <row r="78" spans="1:7">
      <c r="A78" s="251"/>
      <c r="B78" s="289"/>
      <c r="C78" s="289"/>
      <c r="D78" s="295"/>
      <c r="E78" s="293"/>
      <c r="F78" s="289"/>
      <c r="G78" s="292"/>
    </row>
    <row r="79" spans="1:7">
      <c r="A79" s="251"/>
      <c r="B79" s="289"/>
      <c r="C79" s="289"/>
      <c r="D79" s="295"/>
      <c r="E79" s="293"/>
      <c r="F79" s="289"/>
      <c r="G79" s="289"/>
    </row>
    <row r="80" spans="1:7">
      <c r="A80" s="251"/>
      <c r="B80" s="289"/>
      <c r="C80" s="289"/>
      <c r="D80" s="295"/>
      <c r="E80" s="293"/>
      <c r="F80" s="289"/>
      <c r="G80" s="289"/>
    </row>
    <row r="81" spans="1:7">
      <c r="A81" s="251"/>
      <c r="B81" s="289"/>
      <c r="C81" s="289"/>
      <c r="D81" s="295"/>
      <c r="E81" s="293"/>
      <c r="F81" s="289"/>
      <c r="G81" s="289"/>
    </row>
    <row r="82" spans="1:7">
      <c r="A82" s="251"/>
      <c r="B82" s="289"/>
      <c r="C82" s="289"/>
      <c r="D82" s="294"/>
      <c r="E82" s="293"/>
      <c r="F82" s="289"/>
      <c r="G82" s="289"/>
    </row>
    <row r="83" spans="1:7">
      <c r="A83" s="251"/>
      <c r="B83" s="289"/>
      <c r="C83" s="289"/>
      <c r="D83" s="294"/>
      <c r="E83" s="293"/>
      <c r="F83" s="289"/>
      <c r="G83" s="289"/>
    </row>
    <row r="84" spans="1:7">
      <c r="A84" s="251"/>
      <c r="B84" s="289"/>
      <c r="C84" s="289"/>
      <c r="D84" s="294"/>
      <c r="E84" s="293"/>
      <c r="F84" s="289"/>
      <c r="G84" s="289"/>
    </row>
    <row r="85" spans="1:7">
      <c r="A85" s="251"/>
      <c r="B85" s="289"/>
      <c r="C85" s="289"/>
      <c r="D85" s="294"/>
      <c r="E85" s="293"/>
      <c r="F85" s="289"/>
      <c r="G85" s="289"/>
    </row>
    <row r="86" spans="1:7">
      <c r="A86" s="251"/>
      <c r="B86" s="289"/>
      <c r="C86" s="289"/>
      <c r="D86" s="294"/>
      <c r="E86" s="293"/>
      <c r="F86" s="289"/>
      <c r="G86" s="289"/>
    </row>
    <row r="87" spans="1:7">
      <c r="A87" s="251"/>
      <c r="B87" s="289"/>
      <c r="C87" s="289"/>
      <c r="D87" s="294"/>
      <c r="E87" s="293"/>
      <c r="F87" s="289"/>
      <c r="G87" s="289"/>
    </row>
    <row r="88" spans="1:7">
      <c r="A88" s="251"/>
      <c r="B88" s="289"/>
      <c r="C88" s="289"/>
      <c r="D88" s="294"/>
      <c r="E88" s="293"/>
      <c r="F88" s="289"/>
      <c r="G88" s="289"/>
    </row>
    <row r="89" spans="1:7">
      <c r="A89" s="251"/>
      <c r="B89" s="289"/>
      <c r="C89" s="289"/>
      <c r="D89" s="294"/>
      <c r="E89" s="293"/>
      <c r="F89" s="289"/>
      <c r="G89" s="289"/>
    </row>
    <row r="90" spans="1:7">
      <c r="A90" s="251"/>
      <c r="B90" s="289"/>
      <c r="C90" s="289"/>
      <c r="D90" s="294"/>
      <c r="E90" s="293"/>
      <c r="F90" s="289"/>
      <c r="G90" s="289"/>
    </row>
    <row r="91" spans="1:7">
      <c r="A91" s="251"/>
      <c r="B91" s="296"/>
      <c r="C91" s="296"/>
      <c r="D91" s="287"/>
      <c r="E91" s="293"/>
      <c r="F91" s="289"/>
      <c r="G91" s="292"/>
    </row>
    <row r="92" spans="1:7">
      <c r="A92" s="251"/>
      <c r="B92" s="296"/>
      <c r="C92" s="296"/>
      <c r="D92" s="287"/>
      <c r="E92" s="293"/>
      <c r="F92" s="289"/>
      <c r="G92" s="292"/>
    </row>
    <row r="93" spans="1:7">
      <c r="A93" s="251"/>
      <c r="B93" s="296"/>
      <c r="C93" s="296"/>
      <c r="D93" s="287"/>
      <c r="E93" s="293"/>
      <c r="F93" s="289"/>
      <c r="G93" s="292"/>
    </row>
    <row r="94" spans="1:7">
      <c r="A94" s="251"/>
      <c r="B94" s="296"/>
      <c r="C94" s="296"/>
      <c r="D94" s="287"/>
      <c r="E94" s="293"/>
      <c r="F94" s="289"/>
      <c r="G94" s="292"/>
    </row>
    <row r="95" spans="1:7">
      <c r="A95" s="251"/>
      <c r="B95" s="296"/>
      <c r="C95" s="296"/>
      <c r="D95" s="287"/>
      <c r="E95" s="293"/>
      <c r="F95" s="289"/>
      <c r="G95" s="292"/>
    </row>
    <row r="96" spans="1:7">
      <c r="A96" s="251"/>
      <c r="B96" s="296"/>
      <c r="C96" s="296"/>
      <c r="D96" s="287"/>
      <c r="E96" s="297"/>
      <c r="F96" s="292"/>
      <c r="G96" s="292"/>
    </row>
  </sheetData>
  <mergeCells count="17">
    <mergeCell ref="A1:G1"/>
    <mergeCell ref="C3:D3"/>
    <mergeCell ref="F3:G3"/>
    <mergeCell ref="E2:F2"/>
    <mergeCell ref="D41:D42"/>
    <mergeCell ref="A40:B40"/>
    <mergeCell ref="A41:B41"/>
    <mergeCell ref="A42:B42"/>
    <mergeCell ref="E43:F43"/>
    <mergeCell ref="A43:C43"/>
    <mergeCell ref="G41:G42"/>
    <mergeCell ref="C50:D50"/>
    <mergeCell ref="F50:G50"/>
    <mergeCell ref="E49:F49"/>
    <mergeCell ref="A48:G48"/>
    <mergeCell ref="A44:B44"/>
    <mergeCell ref="C44:G44"/>
  </mergeCells>
  <phoneticPr fontId="3" type="noConversion"/>
  <printOptions horizontalCentered="1" verticalCentered="1"/>
  <pageMargins left="0.23622047244094491" right="0.23622047244094491" top="0.44" bottom="0.51181102362204722" header="0.31496062992125984" footer="0.31496062992125984"/>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35C6E-4704-48A4-A18E-A8A9A8459645}">
  <sheetPr>
    <tabColor indexed="48"/>
    <pageSetUpPr fitToPage="1"/>
  </sheetPr>
  <dimension ref="A1:Q95"/>
  <sheetViews>
    <sheetView zoomScaleNormal="178" workbookViewId="0">
      <selection activeCell="O2" sqref="O2:Q2"/>
    </sheetView>
  </sheetViews>
  <sheetFormatPr defaultColWidth="15.625" defaultRowHeight="15"/>
  <cols>
    <col min="1" max="1" width="5.625" style="222" customWidth="1"/>
    <col min="2" max="4" width="12.625" style="224" customWidth="1"/>
    <col min="5" max="7" width="12.625" style="222" customWidth="1"/>
    <col min="8" max="16384" width="15.625" style="222"/>
  </cols>
  <sheetData>
    <row r="1" spans="1:17" ht="23.25" customHeight="1">
      <c r="A1" s="1145" t="s">
        <v>717</v>
      </c>
      <c r="B1" s="1146"/>
      <c r="C1" s="1146"/>
      <c r="D1" s="1146"/>
      <c r="E1" s="1146"/>
      <c r="F1" s="1146"/>
      <c r="G1" s="1146"/>
    </row>
    <row r="2" spans="1:17" ht="49.5" customHeight="1">
      <c r="B2" s="223" t="s">
        <v>718</v>
      </c>
      <c r="C2" s="244" t="s">
        <v>481</v>
      </c>
      <c r="D2" s="225" t="s">
        <v>161</v>
      </c>
      <c r="E2" s="1163" t="s">
        <v>482</v>
      </c>
      <c r="F2" s="1163"/>
      <c r="G2" s="223" t="s">
        <v>453</v>
      </c>
      <c r="O2" s="440"/>
      <c r="P2" s="440"/>
      <c r="Q2" s="440"/>
    </row>
    <row r="3" spans="1:17" ht="15.75" customHeight="1">
      <c r="A3" s="245" t="s">
        <v>165</v>
      </c>
      <c r="B3" s="246" t="s">
        <v>477</v>
      </c>
      <c r="C3" s="1156" t="s">
        <v>566</v>
      </c>
      <c r="D3" s="1157"/>
      <c r="E3" s="247" t="s">
        <v>478</v>
      </c>
      <c r="F3" s="1158" t="s">
        <v>565</v>
      </c>
      <c r="G3" s="1159"/>
    </row>
    <row r="4" spans="1:17" s="229" customFormat="1" ht="47.25" customHeight="1">
      <c r="A4" s="245" t="s">
        <v>162</v>
      </c>
      <c r="B4" s="248" t="s">
        <v>513</v>
      </c>
      <c r="C4" s="248" t="s">
        <v>514</v>
      </c>
      <c r="D4" s="249" t="s">
        <v>163</v>
      </c>
      <c r="E4" s="250" t="s">
        <v>513</v>
      </c>
      <c r="F4" s="248" t="s">
        <v>514</v>
      </c>
      <c r="G4" s="248" t="s">
        <v>163</v>
      </c>
    </row>
    <row r="5" spans="1:17">
      <c r="A5" s="251">
        <v>1</v>
      </c>
      <c r="B5" s="314">
        <v>47073</v>
      </c>
      <c r="C5" s="314">
        <v>14353</v>
      </c>
      <c r="D5" s="298"/>
      <c r="E5" s="315">
        <v>30832</v>
      </c>
      <c r="F5" s="316">
        <v>13209</v>
      </c>
      <c r="G5" s="276"/>
    </row>
    <row r="6" spans="1:17" ht="15" customHeight="1">
      <c r="A6" s="251">
        <v>2</v>
      </c>
      <c r="B6" s="314">
        <v>27029</v>
      </c>
      <c r="C6" s="314">
        <v>19244</v>
      </c>
      <c r="D6" s="274"/>
      <c r="E6" s="315">
        <v>25119</v>
      </c>
      <c r="F6" s="317">
        <v>13320</v>
      </c>
      <c r="G6" s="276"/>
    </row>
    <row r="7" spans="1:17" ht="15" customHeight="1">
      <c r="A7" s="251">
        <v>3</v>
      </c>
      <c r="B7" s="314">
        <v>34600</v>
      </c>
      <c r="C7" s="314">
        <v>21849</v>
      </c>
      <c r="D7" s="298"/>
      <c r="E7" s="315">
        <v>30144</v>
      </c>
      <c r="F7" s="317">
        <v>13699</v>
      </c>
      <c r="G7" s="276"/>
    </row>
    <row r="8" spans="1:17" ht="15" customHeight="1">
      <c r="A8" s="251">
        <v>4</v>
      </c>
      <c r="B8" s="314">
        <v>30403</v>
      </c>
      <c r="C8" s="314">
        <v>23310</v>
      </c>
      <c r="D8" s="298"/>
      <c r="E8" s="315">
        <v>27602</v>
      </c>
      <c r="F8" s="317">
        <v>14693</v>
      </c>
      <c r="G8" s="317"/>
    </row>
    <row r="9" spans="1:17" ht="15" customHeight="1">
      <c r="A9" s="251">
        <v>5</v>
      </c>
      <c r="B9" s="314">
        <v>34806</v>
      </c>
      <c r="C9" s="314">
        <v>23434</v>
      </c>
      <c r="D9" s="298"/>
      <c r="E9" s="315">
        <v>21684</v>
      </c>
      <c r="F9" s="317">
        <v>16803</v>
      </c>
      <c r="G9" s="317"/>
    </row>
    <row r="10" spans="1:17" ht="15" customHeight="1">
      <c r="A10" s="251">
        <v>6</v>
      </c>
      <c r="B10" s="314">
        <v>29320</v>
      </c>
      <c r="C10" s="314">
        <v>23613</v>
      </c>
      <c r="D10" s="318">
        <v>23613</v>
      </c>
      <c r="E10" s="315">
        <v>43103</v>
      </c>
      <c r="F10" s="317">
        <v>17636</v>
      </c>
      <c r="G10" s="317"/>
    </row>
    <row r="11" spans="1:17" ht="15.75" customHeight="1">
      <c r="A11" s="251">
        <v>7</v>
      </c>
      <c r="B11" s="314">
        <v>39545</v>
      </c>
      <c r="C11" s="317">
        <v>25427</v>
      </c>
      <c r="D11" s="318">
        <v>25427</v>
      </c>
      <c r="E11" s="315">
        <v>31155</v>
      </c>
      <c r="F11" s="317">
        <v>18895</v>
      </c>
      <c r="G11" s="317"/>
    </row>
    <row r="12" spans="1:17" ht="15" customHeight="1">
      <c r="A12" s="251">
        <v>8</v>
      </c>
      <c r="B12" s="314">
        <v>29057</v>
      </c>
      <c r="C12" s="314">
        <v>27029</v>
      </c>
      <c r="D12" s="318">
        <v>27029</v>
      </c>
      <c r="E12" s="315">
        <v>28807</v>
      </c>
      <c r="F12" s="317">
        <v>19101</v>
      </c>
      <c r="G12" s="317">
        <v>19101</v>
      </c>
    </row>
    <row r="13" spans="1:17" ht="15" customHeight="1">
      <c r="A13" s="251">
        <v>9</v>
      </c>
      <c r="B13" s="314">
        <v>31191</v>
      </c>
      <c r="C13" s="314">
        <v>27120</v>
      </c>
      <c r="D13" s="318">
        <v>27120</v>
      </c>
      <c r="E13" s="315">
        <v>38408</v>
      </c>
      <c r="F13" s="317">
        <v>19440</v>
      </c>
      <c r="G13" s="317">
        <v>19440</v>
      </c>
    </row>
    <row r="14" spans="1:17" ht="15" customHeight="1">
      <c r="A14" s="251">
        <v>10</v>
      </c>
      <c r="B14" s="314">
        <v>14353</v>
      </c>
      <c r="C14" s="314">
        <v>29057</v>
      </c>
      <c r="D14" s="318">
        <v>29057</v>
      </c>
      <c r="E14" s="315">
        <v>23468</v>
      </c>
      <c r="F14" s="317">
        <v>21684</v>
      </c>
      <c r="G14" s="317">
        <v>21684</v>
      </c>
    </row>
    <row r="15" spans="1:17">
      <c r="A15" s="251">
        <v>11</v>
      </c>
      <c r="B15" s="319">
        <v>31040</v>
      </c>
      <c r="C15" s="314">
        <v>29320</v>
      </c>
      <c r="D15" s="318">
        <v>29320</v>
      </c>
      <c r="E15" s="315">
        <v>14693</v>
      </c>
      <c r="F15" s="317">
        <v>22296</v>
      </c>
      <c r="G15" s="317">
        <v>22296</v>
      </c>
    </row>
    <row r="16" spans="1:17">
      <c r="A16" s="251">
        <v>12</v>
      </c>
      <c r="B16" s="314">
        <v>27120</v>
      </c>
      <c r="C16" s="314">
        <v>29577</v>
      </c>
      <c r="D16" s="318">
        <v>29577</v>
      </c>
      <c r="E16" s="315">
        <v>26314</v>
      </c>
      <c r="F16" s="317">
        <v>22816</v>
      </c>
      <c r="G16" s="317">
        <v>22816</v>
      </c>
    </row>
    <row r="17" spans="1:7">
      <c r="A17" s="251">
        <v>13</v>
      </c>
      <c r="B17" s="314">
        <v>19244</v>
      </c>
      <c r="C17" s="314">
        <v>30403</v>
      </c>
      <c r="D17" s="318">
        <v>30403</v>
      </c>
      <c r="E17" s="315">
        <v>17636</v>
      </c>
      <c r="F17" s="317">
        <v>23468</v>
      </c>
      <c r="G17" s="317">
        <v>23468</v>
      </c>
    </row>
    <row r="18" spans="1:7">
      <c r="A18" s="251">
        <v>14</v>
      </c>
      <c r="B18" s="314">
        <v>23613</v>
      </c>
      <c r="C18" s="319">
        <v>31040</v>
      </c>
      <c r="D18" s="320">
        <v>31040</v>
      </c>
      <c r="E18" s="315">
        <v>18895</v>
      </c>
      <c r="F18" s="317">
        <v>24128</v>
      </c>
      <c r="G18" s="317">
        <v>24128</v>
      </c>
    </row>
    <row r="19" spans="1:7">
      <c r="A19" s="251">
        <v>15</v>
      </c>
      <c r="B19" s="314">
        <v>21849</v>
      </c>
      <c r="C19" s="314">
        <v>31191</v>
      </c>
      <c r="D19" s="318">
        <v>31191</v>
      </c>
      <c r="E19" s="315">
        <v>13699</v>
      </c>
      <c r="F19" s="317">
        <v>25119</v>
      </c>
      <c r="G19" s="317">
        <v>25119</v>
      </c>
    </row>
    <row r="20" spans="1:7">
      <c r="A20" s="251">
        <v>16</v>
      </c>
      <c r="B20" s="314">
        <v>37703</v>
      </c>
      <c r="C20" s="314">
        <v>31307</v>
      </c>
      <c r="D20" s="318">
        <v>31307</v>
      </c>
      <c r="E20" s="315">
        <v>30366</v>
      </c>
      <c r="F20" s="317">
        <v>26314</v>
      </c>
      <c r="G20" s="317">
        <v>26314</v>
      </c>
    </row>
    <row r="21" spans="1:7">
      <c r="A21" s="251">
        <v>17</v>
      </c>
      <c r="B21" s="314">
        <v>23434</v>
      </c>
      <c r="C21" s="314">
        <v>34600</v>
      </c>
      <c r="D21" s="318">
        <v>34600</v>
      </c>
      <c r="E21" s="315">
        <v>16803</v>
      </c>
      <c r="F21" s="317">
        <v>27602</v>
      </c>
      <c r="G21" s="317">
        <v>27602</v>
      </c>
    </row>
    <row r="22" spans="1:7">
      <c r="A22" s="251">
        <v>18</v>
      </c>
      <c r="B22" s="314">
        <v>23310</v>
      </c>
      <c r="C22" s="314">
        <v>34806</v>
      </c>
      <c r="D22" s="260"/>
      <c r="E22" s="315">
        <v>19440</v>
      </c>
      <c r="F22" s="317">
        <v>27759</v>
      </c>
      <c r="G22" s="317">
        <v>27759</v>
      </c>
    </row>
    <row r="23" spans="1:7">
      <c r="A23" s="251">
        <v>19</v>
      </c>
      <c r="B23" s="317">
        <v>25427</v>
      </c>
      <c r="C23" s="314">
        <v>35496</v>
      </c>
      <c r="D23" s="262"/>
      <c r="E23" s="315">
        <v>22296</v>
      </c>
      <c r="F23" s="317">
        <v>28807</v>
      </c>
      <c r="G23" s="317">
        <v>28807</v>
      </c>
    </row>
    <row r="24" spans="1:7">
      <c r="A24" s="251">
        <v>20</v>
      </c>
      <c r="B24" s="314">
        <v>35496</v>
      </c>
      <c r="C24" s="314">
        <v>37703</v>
      </c>
      <c r="D24" s="260"/>
      <c r="E24" s="315">
        <v>19101</v>
      </c>
      <c r="F24" s="317">
        <v>30144</v>
      </c>
      <c r="G24" s="317">
        <v>30144</v>
      </c>
    </row>
    <row r="25" spans="1:7">
      <c r="A25" s="251">
        <v>21</v>
      </c>
      <c r="B25" s="314">
        <v>31307</v>
      </c>
      <c r="C25" s="314">
        <v>39545</v>
      </c>
      <c r="D25" s="262"/>
      <c r="E25" s="315">
        <v>24128</v>
      </c>
      <c r="F25" s="317">
        <v>30366</v>
      </c>
      <c r="G25" s="317">
        <v>30366</v>
      </c>
    </row>
    <row r="26" spans="1:7">
      <c r="A26" s="251">
        <v>22</v>
      </c>
      <c r="B26" s="314">
        <v>29577</v>
      </c>
      <c r="C26" s="314">
        <v>47073</v>
      </c>
      <c r="D26" s="260"/>
      <c r="E26" s="315">
        <v>13320</v>
      </c>
      <c r="F26" s="317">
        <v>30832</v>
      </c>
      <c r="G26" s="268"/>
    </row>
    <row r="27" spans="1:7">
      <c r="A27" s="251">
        <v>23</v>
      </c>
      <c r="B27" s="314">
        <v>63581</v>
      </c>
      <c r="C27" s="314">
        <v>63581</v>
      </c>
      <c r="D27" s="262"/>
      <c r="E27" s="315">
        <v>136147</v>
      </c>
      <c r="F27" s="317">
        <v>31155</v>
      </c>
      <c r="G27" s="268"/>
    </row>
    <row r="28" spans="1:7">
      <c r="A28" s="251">
        <v>24</v>
      </c>
      <c r="B28" s="264"/>
      <c r="C28" s="264"/>
      <c r="D28" s="260"/>
      <c r="E28" s="315">
        <v>34566</v>
      </c>
      <c r="F28" s="317">
        <v>33189</v>
      </c>
      <c r="G28" s="268"/>
    </row>
    <row r="29" spans="1:7">
      <c r="A29" s="251">
        <v>25</v>
      </c>
      <c r="B29" s="300"/>
      <c r="C29" s="300"/>
      <c r="D29" s="274"/>
      <c r="E29" s="321">
        <v>13209</v>
      </c>
      <c r="F29" s="317">
        <v>34566</v>
      </c>
      <c r="G29" s="268"/>
    </row>
    <row r="30" spans="1:7">
      <c r="A30" s="251">
        <v>26</v>
      </c>
      <c r="B30" s="264"/>
      <c r="C30" s="264"/>
      <c r="D30" s="274"/>
      <c r="E30" s="315">
        <v>42531</v>
      </c>
      <c r="F30" s="317">
        <v>38408</v>
      </c>
      <c r="G30" s="268"/>
    </row>
    <row r="31" spans="1:7">
      <c r="A31" s="251">
        <v>27</v>
      </c>
      <c r="B31" s="264"/>
      <c r="C31" s="264"/>
      <c r="D31" s="274"/>
      <c r="E31" s="315">
        <v>27759</v>
      </c>
      <c r="F31" s="317">
        <v>42531</v>
      </c>
      <c r="G31" s="268"/>
    </row>
    <row r="32" spans="1:7">
      <c r="A32" s="251">
        <v>28</v>
      </c>
      <c r="B32" s="264"/>
      <c r="C32" s="264"/>
      <c r="D32" s="274"/>
      <c r="E32" s="315">
        <v>33189</v>
      </c>
      <c r="F32" s="317">
        <v>43103</v>
      </c>
      <c r="G32" s="268"/>
    </row>
    <row r="33" spans="1:7">
      <c r="A33" s="251">
        <v>29</v>
      </c>
      <c r="B33" s="264"/>
      <c r="C33" s="264"/>
      <c r="D33" s="274"/>
      <c r="E33" s="315">
        <v>22816</v>
      </c>
      <c r="F33" s="317">
        <v>136147</v>
      </c>
      <c r="G33" s="268"/>
    </row>
    <row r="34" spans="1:7">
      <c r="A34" s="251">
        <v>30</v>
      </c>
      <c r="B34" s="264"/>
      <c r="C34" s="264"/>
      <c r="D34" s="274"/>
      <c r="E34" s="266"/>
      <c r="F34" s="267"/>
      <c r="G34" s="268"/>
    </row>
    <row r="35" spans="1:7">
      <c r="A35" s="251">
        <v>31</v>
      </c>
      <c r="B35" s="270"/>
      <c r="C35" s="270"/>
      <c r="D35" s="274"/>
      <c r="E35" s="271"/>
      <c r="F35" s="267"/>
      <c r="G35" s="269"/>
    </row>
    <row r="36" spans="1:7">
      <c r="A36" s="251">
        <v>32</v>
      </c>
      <c r="B36" s="270"/>
      <c r="C36" s="270"/>
      <c r="D36" s="274"/>
      <c r="E36" s="275"/>
      <c r="F36" s="267"/>
      <c r="G36" s="276"/>
    </row>
    <row r="37" spans="1:7">
      <c r="A37" s="251">
        <v>33</v>
      </c>
      <c r="B37" s="270"/>
      <c r="C37" s="270"/>
      <c r="D37" s="274"/>
      <c r="E37" s="271"/>
      <c r="F37" s="267"/>
      <c r="G37" s="276"/>
    </row>
    <row r="38" spans="1:7">
      <c r="A38" s="251">
        <v>34</v>
      </c>
      <c r="B38" s="270"/>
      <c r="C38" s="270"/>
      <c r="D38" s="274"/>
      <c r="E38" s="271"/>
      <c r="F38" s="267"/>
      <c r="G38" s="276"/>
    </row>
    <row r="39" spans="1:7" ht="15.75" thickBot="1">
      <c r="A39" s="277">
        <v>35</v>
      </c>
      <c r="B39" s="278"/>
      <c r="C39" s="278"/>
      <c r="D39" s="279"/>
      <c r="E39" s="280"/>
      <c r="F39" s="281"/>
      <c r="G39" s="282"/>
    </row>
    <row r="40" spans="1:7" ht="15.75">
      <c r="A40" s="1173" t="s">
        <v>164</v>
      </c>
      <c r="B40" s="1174"/>
      <c r="C40" s="283">
        <v>23</v>
      </c>
      <c r="D40" s="284">
        <v>12</v>
      </c>
      <c r="E40" s="285" t="s">
        <v>164</v>
      </c>
      <c r="F40" s="283">
        <v>29</v>
      </c>
      <c r="G40" s="283">
        <v>14</v>
      </c>
    </row>
    <row r="41" spans="1:7" ht="15.75">
      <c r="A41" s="1166" t="s">
        <v>166</v>
      </c>
      <c r="B41" s="1167"/>
      <c r="C41" s="251">
        <f>C40/4</f>
        <v>5.75</v>
      </c>
      <c r="D41" s="1164" t="s">
        <v>518</v>
      </c>
      <c r="E41" s="286" t="s">
        <v>166</v>
      </c>
      <c r="F41" s="251">
        <f>F40/4</f>
        <v>7.25</v>
      </c>
      <c r="G41" s="1154" t="s">
        <v>519</v>
      </c>
    </row>
    <row r="42" spans="1:7" ht="15.75">
      <c r="A42" s="1166" t="s">
        <v>167</v>
      </c>
      <c r="B42" s="1167"/>
      <c r="C42" s="251">
        <f>C40/4*3</f>
        <v>17.25</v>
      </c>
      <c r="D42" s="1183"/>
      <c r="E42" s="286" t="s">
        <v>167</v>
      </c>
      <c r="F42" s="251">
        <f>F40/4*3</f>
        <v>21.75</v>
      </c>
      <c r="G42" s="1155"/>
    </row>
    <row r="43" spans="1:7" ht="19.5" customHeight="1" thickBot="1">
      <c r="A43" s="1179" t="s">
        <v>744</v>
      </c>
      <c r="B43" s="1180"/>
      <c r="C43" s="1181"/>
      <c r="D43" s="338">
        <f>AVERAGE(D10:D21)</f>
        <v>29140.333333333332</v>
      </c>
      <c r="E43" s="1168" t="s">
        <v>743</v>
      </c>
      <c r="F43" s="1182"/>
      <c r="G43" s="282">
        <f>AVERAGE(G12:G25)</f>
        <v>24931.714285714286</v>
      </c>
    </row>
    <row r="44" spans="1:7" ht="42" customHeight="1">
      <c r="A44" s="1136" t="s">
        <v>131</v>
      </c>
      <c r="B44" s="1160"/>
      <c r="C44" s="1161"/>
      <c r="D44" s="1162"/>
      <c r="E44" s="1162"/>
      <c r="F44" s="1162"/>
      <c r="G44" s="1162"/>
    </row>
    <row r="45" spans="1:7">
      <c r="A45" s="243" t="s">
        <v>454</v>
      </c>
    </row>
    <row r="46" spans="1:7" ht="15.75">
      <c r="A46" s="288" t="s">
        <v>452</v>
      </c>
    </row>
    <row r="47" spans="1:7" ht="21">
      <c r="A47" s="1145" t="s">
        <v>580</v>
      </c>
      <c r="B47" s="1146"/>
      <c r="C47" s="1146"/>
      <c r="D47" s="1146"/>
      <c r="E47" s="1146"/>
      <c r="F47" s="1146"/>
      <c r="G47" s="1146"/>
    </row>
    <row r="48" spans="1:7" ht="18">
      <c r="B48" s="223" t="s">
        <v>682</v>
      </c>
      <c r="C48" s="225"/>
      <c r="D48" s="225" t="s">
        <v>161</v>
      </c>
      <c r="E48" s="1163"/>
      <c r="F48" s="1163"/>
      <c r="G48" s="223" t="s">
        <v>453</v>
      </c>
    </row>
    <row r="49" spans="1:7" ht="15.75">
      <c r="A49" s="245" t="s">
        <v>165</v>
      </c>
      <c r="B49" s="246" t="s">
        <v>96</v>
      </c>
      <c r="C49" s="1156"/>
      <c r="D49" s="1157"/>
      <c r="E49" s="247" t="s">
        <v>95</v>
      </c>
      <c r="F49" s="1158"/>
      <c r="G49" s="1159"/>
    </row>
    <row r="50" spans="1:7" ht="34.5">
      <c r="A50" s="245" t="s">
        <v>162</v>
      </c>
      <c r="B50" s="248" t="s">
        <v>513</v>
      </c>
      <c r="C50" s="248" t="s">
        <v>514</v>
      </c>
      <c r="D50" s="249" t="s">
        <v>163</v>
      </c>
      <c r="E50" s="250" t="s">
        <v>513</v>
      </c>
      <c r="F50" s="248" t="s">
        <v>514</v>
      </c>
      <c r="G50" s="248" t="s">
        <v>163</v>
      </c>
    </row>
    <row r="51" spans="1:7">
      <c r="A51" s="251"/>
      <c r="B51" s="289"/>
      <c r="C51" s="289"/>
      <c r="D51" s="290"/>
      <c r="E51" s="271"/>
      <c r="F51" s="291"/>
      <c r="G51" s="276"/>
    </row>
    <row r="52" spans="1:7">
      <c r="A52" s="251"/>
      <c r="B52" s="289"/>
      <c r="C52" s="289"/>
      <c r="D52" s="290"/>
      <c r="E52" s="271"/>
      <c r="F52" s="291"/>
      <c r="G52" s="276"/>
    </row>
    <row r="53" spans="1:7">
      <c r="A53" s="251"/>
      <c r="B53" s="289"/>
      <c r="C53" s="289"/>
      <c r="D53" s="290"/>
      <c r="E53" s="271"/>
      <c r="F53" s="291"/>
      <c r="G53" s="276"/>
    </row>
    <row r="54" spans="1:7">
      <c r="A54" s="251"/>
      <c r="B54" s="289"/>
      <c r="C54" s="289"/>
      <c r="D54" s="290"/>
      <c r="E54" s="271"/>
      <c r="F54" s="291"/>
      <c r="G54" s="276"/>
    </row>
    <row r="55" spans="1:7">
      <c r="A55" s="251"/>
      <c r="B55" s="289"/>
      <c r="C55" s="289"/>
      <c r="D55" s="290"/>
      <c r="E55" s="271"/>
      <c r="F55" s="291"/>
      <c r="G55" s="276"/>
    </row>
    <row r="56" spans="1:7">
      <c r="A56" s="251"/>
      <c r="B56" s="289"/>
      <c r="C56" s="289"/>
      <c r="D56" s="290"/>
      <c r="E56" s="271"/>
      <c r="F56" s="291"/>
      <c r="G56" s="276"/>
    </row>
    <row r="57" spans="1:7">
      <c r="A57" s="251"/>
      <c r="B57" s="289"/>
      <c r="C57" s="289"/>
      <c r="D57" s="290"/>
      <c r="E57" s="271"/>
      <c r="F57" s="291"/>
      <c r="G57" s="292"/>
    </row>
    <row r="58" spans="1:7">
      <c r="A58" s="251"/>
      <c r="B58" s="289"/>
      <c r="C58" s="289"/>
      <c r="D58" s="290"/>
      <c r="E58" s="293"/>
      <c r="F58" s="289"/>
      <c r="G58" s="292"/>
    </row>
    <row r="59" spans="1:7">
      <c r="A59" s="251"/>
      <c r="B59" s="289"/>
      <c r="C59" s="289"/>
      <c r="D59" s="290"/>
      <c r="E59" s="293"/>
      <c r="F59" s="289"/>
      <c r="G59" s="292"/>
    </row>
    <row r="60" spans="1:7">
      <c r="A60" s="251"/>
      <c r="B60" s="289"/>
      <c r="C60" s="289"/>
      <c r="D60" s="290"/>
      <c r="E60" s="293"/>
      <c r="F60" s="289"/>
      <c r="G60" s="292"/>
    </row>
    <row r="61" spans="1:7">
      <c r="A61" s="251"/>
      <c r="B61" s="289"/>
      <c r="C61" s="289"/>
      <c r="D61" s="290"/>
      <c r="E61" s="293"/>
      <c r="F61" s="289"/>
      <c r="G61" s="292"/>
    </row>
    <row r="62" spans="1:7">
      <c r="A62" s="251"/>
      <c r="B62" s="289"/>
      <c r="C62" s="289"/>
      <c r="D62" s="290"/>
      <c r="E62" s="293"/>
      <c r="F62" s="289"/>
      <c r="G62" s="292"/>
    </row>
    <row r="63" spans="1:7">
      <c r="A63" s="251"/>
      <c r="B63" s="289"/>
      <c r="C63" s="289"/>
      <c r="D63" s="290"/>
      <c r="E63" s="293"/>
      <c r="F63" s="289"/>
      <c r="G63" s="292"/>
    </row>
    <row r="64" spans="1:7">
      <c r="A64" s="251"/>
      <c r="B64" s="289"/>
      <c r="C64" s="289"/>
      <c r="D64" s="290"/>
      <c r="E64" s="293"/>
      <c r="F64" s="289"/>
      <c r="G64" s="292"/>
    </row>
    <row r="65" spans="1:7">
      <c r="A65" s="251"/>
      <c r="B65" s="289"/>
      <c r="C65" s="289"/>
      <c r="D65" s="290"/>
      <c r="E65" s="293"/>
      <c r="F65" s="289"/>
      <c r="G65" s="292"/>
    </row>
    <row r="66" spans="1:7">
      <c r="A66" s="251"/>
      <c r="B66" s="289"/>
      <c r="C66" s="289"/>
      <c r="D66" s="290"/>
      <c r="E66" s="293"/>
      <c r="F66" s="289"/>
      <c r="G66" s="292"/>
    </row>
    <row r="67" spans="1:7">
      <c r="A67" s="251"/>
      <c r="B67" s="289"/>
      <c r="C67" s="289"/>
      <c r="D67" s="290"/>
      <c r="E67" s="293"/>
      <c r="F67" s="289"/>
      <c r="G67" s="292"/>
    </row>
    <row r="68" spans="1:7">
      <c r="A68" s="251"/>
      <c r="B68" s="289"/>
      <c r="C68" s="289"/>
      <c r="D68" s="290"/>
      <c r="E68" s="293"/>
      <c r="F68" s="289"/>
      <c r="G68" s="292"/>
    </row>
    <row r="69" spans="1:7">
      <c r="A69" s="251"/>
      <c r="B69" s="289"/>
      <c r="C69" s="289"/>
      <c r="D69" s="290"/>
      <c r="E69" s="293"/>
      <c r="F69" s="289"/>
      <c r="G69" s="292"/>
    </row>
    <row r="70" spans="1:7">
      <c r="A70" s="251"/>
      <c r="B70" s="289"/>
      <c r="C70" s="289"/>
      <c r="D70" s="290"/>
      <c r="E70" s="293"/>
      <c r="F70" s="289"/>
      <c r="G70" s="292"/>
    </row>
    <row r="71" spans="1:7">
      <c r="A71" s="251"/>
      <c r="B71" s="289"/>
      <c r="C71" s="289"/>
      <c r="D71" s="290"/>
      <c r="E71" s="293"/>
      <c r="F71" s="289"/>
      <c r="G71" s="292"/>
    </row>
    <row r="72" spans="1:7">
      <c r="A72" s="251"/>
      <c r="B72" s="289"/>
      <c r="C72" s="289"/>
      <c r="D72" s="290"/>
      <c r="E72" s="293"/>
      <c r="F72" s="289"/>
      <c r="G72" s="292"/>
    </row>
    <row r="73" spans="1:7">
      <c r="A73" s="251"/>
      <c r="B73" s="289"/>
      <c r="C73" s="289"/>
      <c r="D73" s="290"/>
      <c r="E73" s="293"/>
      <c r="F73" s="289"/>
      <c r="G73" s="292"/>
    </row>
    <row r="74" spans="1:7">
      <c r="A74" s="251"/>
      <c r="B74" s="289"/>
      <c r="C74" s="289"/>
      <c r="D74" s="290"/>
      <c r="E74" s="293"/>
      <c r="F74" s="289"/>
      <c r="G74" s="292"/>
    </row>
    <row r="75" spans="1:7">
      <c r="A75" s="251"/>
      <c r="B75" s="289"/>
      <c r="C75" s="289"/>
      <c r="D75" s="294"/>
      <c r="E75" s="293"/>
      <c r="F75" s="289"/>
      <c r="G75" s="292"/>
    </row>
    <row r="76" spans="1:7">
      <c r="A76" s="251"/>
      <c r="B76" s="289"/>
      <c r="C76" s="289"/>
      <c r="D76" s="295"/>
      <c r="E76" s="293"/>
      <c r="F76" s="289"/>
      <c r="G76" s="292"/>
    </row>
    <row r="77" spans="1:7">
      <c r="A77" s="251"/>
      <c r="B77" s="289"/>
      <c r="C77" s="289"/>
      <c r="D77" s="295"/>
      <c r="E77" s="293"/>
      <c r="F77" s="289"/>
      <c r="G77" s="292"/>
    </row>
    <row r="78" spans="1:7">
      <c r="A78" s="251"/>
      <c r="B78" s="289"/>
      <c r="C78" s="289"/>
      <c r="D78" s="295"/>
      <c r="E78" s="293"/>
      <c r="F78" s="289"/>
      <c r="G78" s="289"/>
    </row>
    <row r="79" spans="1:7">
      <c r="A79" s="251"/>
      <c r="B79" s="289"/>
      <c r="C79" s="289"/>
      <c r="D79" s="295"/>
      <c r="E79" s="293"/>
      <c r="F79" s="289"/>
      <c r="G79" s="289"/>
    </row>
    <row r="80" spans="1:7">
      <c r="A80" s="251"/>
      <c r="B80" s="289"/>
      <c r="C80" s="289"/>
      <c r="D80" s="295"/>
      <c r="E80" s="293"/>
      <c r="F80" s="289"/>
      <c r="G80" s="289"/>
    </row>
    <row r="81" spans="1:7">
      <c r="A81" s="251"/>
      <c r="B81" s="289"/>
      <c r="C81" s="289"/>
      <c r="D81" s="294"/>
      <c r="E81" s="293"/>
      <c r="F81" s="289"/>
      <c r="G81" s="289"/>
    </row>
    <row r="82" spans="1:7">
      <c r="A82" s="251"/>
      <c r="B82" s="289"/>
      <c r="C82" s="289"/>
      <c r="D82" s="294"/>
      <c r="E82" s="293"/>
      <c r="F82" s="289"/>
      <c r="G82" s="289"/>
    </row>
    <row r="83" spans="1:7">
      <c r="A83" s="251"/>
      <c r="B83" s="289"/>
      <c r="C83" s="289"/>
      <c r="D83" s="294"/>
      <c r="E83" s="293"/>
      <c r="F83" s="289"/>
      <c r="G83" s="289"/>
    </row>
    <row r="84" spans="1:7">
      <c r="A84" s="251"/>
      <c r="B84" s="289"/>
      <c r="C84" s="289"/>
      <c r="D84" s="294"/>
      <c r="E84" s="293"/>
      <c r="F84" s="289"/>
      <c r="G84" s="289"/>
    </row>
    <row r="85" spans="1:7">
      <c r="A85" s="251"/>
      <c r="B85" s="289"/>
      <c r="C85" s="289"/>
      <c r="D85" s="294"/>
      <c r="E85" s="293"/>
      <c r="F85" s="289"/>
      <c r="G85" s="289"/>
    </row>
    <row r="86" spans="1:7">
      <c r="A86" s="251"/>
      <c r="B86" s="289"/>
      <c r="C86" s="289"/>
      <c r="D86" s="294"/>
      <c r="E86" s="293"/>
      <c r="F86" s="289"/>
      <c r="G86" s="289"/>
    </row>
    <row r="87" spans="1:7">
      <c r="A87" s="251"/>
      <c r="B87" s="289"/>
      <c r="C87" s="289"/>
      <c r="D87" s="294"/>
      <c r="E87" s="293"/>
      <c r="F87" s="289"/>
      <c r="G87" s="289"/>
    </row>
    <row r="88" spans="1:7">
      <c r="A88" s="251"/>
      <c r="B88" s="289"/>
      <c r="C88" s="289"/>
      <c r="D88" s="294"/>
      <c r="E88" s="293"/>
      <c r="F88" s="289"/>
      <c r="G88" s="289"/>
    </row>
    <row r="89" spans="1:7">
      <c r="A89" s="251"/>
      <c r="B89" s="289"/>
      <c r="C89" s="289"/>
      <c r="D89" s="294"/>
      <c r="E89" s="293"/>
      <c r="F89" s="289"/>
      <c r="G89" s="289"/>
    </row>
    <row r="90" spans="1:7">
      <c r="A90" s="251"/>
      <c r="B90" s="296"/>
      <c r="C90" s="296"/>
      <c r="D90" s="287"/>
      <c r="E90" s="293"/>
      <c r="F90" s="289"/>
      <c r="G90" s="292"/>
    </row>
    <row r="91" spans="1:7">
      <c r="A91" s="251"/>
      <c r="B91" s="296"/>
      <c r="C91" s="296"/>
      <c r="D91" s="287"/>
      <c r="E91" s="293"/>
      <c r="F91" s="289"/>
      <c r="G91" s="292"/>
    </row>
    <row r="92" spans="1:7">
      <c r="A92" s="251"/>
      <c r="B92" s="296"/>
      <c r="C92" s="296"/>
      <c r="D92" s="287"/>
      <c r="E92" s="293"/>
      <c r="F92" s="289"/>
      <c r="G92" s="292"/>
    </row>
    <row r="93" spans="1:7">
      <c r="A93" s="251"/>
      <c r="B93" s="296"/>
      <c r="C93" s="296"/>
      <c r="D93" s="287"/>
      <c r="E93" s="293"/>
      <c r="F93" s="289"/>
      <c r="G93" s="292"/>
    </row>
    <row r="94" spans="1:7">
      <c r="A94" s="251"/>
      <c r="B94" s="296"/>
      <c r="C94" s="296"/>
      <c r="D94" s="287"/>
      <c r="E94" s="293"/>
      <c r="F94" s="289"/>
      <c r="G94" s="292"/>
    </row>
    <row r="95" spans="1:7">
      <c r="A95" s="251"/>
      <c r="B95" s="296"/>
      <c r="C95" s="296"/>
      <c r="D95" s="287"/>
      <c r="E95" s="297"/>
      <c r="F95" s="292"/>
      <c r="G95" s="292"/>
    </row>
  </sheetData>
  <mergeCells count="17">
    <mergeCell ref="A1:G1"/>
    <mergeCell ref="C3:D3"/>
    <mergeCell ref="F3:G3"/>
    <mergeCell ref="E2:F2"/>
    <mergeCell ref="D41:D42"/>
    <mergeCell ref="A40:B40"/>
    <mergeCell ref="A41:B41"/>
    <mergeCell ref="A42:B42"/>
    <mergeCell ref="A43:C43"/>
    <mergeCell ref="E43:F43"/>
    <mergeCell ref="G41:G42"/>
    <mergeCell ref="C49:D49"/>
    <mergeCell ref="F49:G49"/>
    <mergeCell ref="E48:F48"/>
    <mergeCell ref="A47:G47"/>
    <mergeCell ref="A44:B44"/>
    <mergeCell ref="C44:G44"/>
  </mergeCells>
  <phoneticPr fontId="3" type="noConversion"/>
  <printOptions horizontalCentered="1" verticalCentered="1"/>
  <pageMargins left="0.23622047244094491" right="0.23622047244094491" top="0.55118110236220474" bottom="0.51181102362204722" header="0.31496062992125984" footer="0.31496062992125984"/>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64024-EA49-445B-9846-4E12075DE34A}">
  <sheetPr>
    <tabColor indexed="48"/>
    <pageSetUpPr fitToPage="1"/>
  </sheetPr>
  <dimension ref="A1:Q96"/>
  <sheetViews>
    <sheetView topLeftCell="A37" zoomScaleNormal="178" workbookViewId="0">
      <selection activeCell="O2" sqref="O2:Q2"/>
    </sheetView>
  </sheetViews>
  <sheetFormatPr defaultColWidth="15.625" defaultRowHeight="15"/>
  <cols>
    <col min="1" max="1" width="5.625" style="222" customWidth="1"/>
    <col min="2" max="4" width="12.625" style="224" customWidth="1"/>
    <col min="5" max="7" width="12.625" style="222" customWidth="1"/>
    <col min="8" max="16384" width="15.625" style="222"/>
  </cols>
  <sheetData>
    <row r="1" spans="1:17" ht="23.25" customHeight="1">
      <c r="A1" s="1145" t="s">
        <v>684</v>
      </c>
      <c r="B1" s="1146"/>
      <c r="C1" s="1146"/>
      <c r="D1" s="1146"/>
      <c r="E1" s="1146"/>
      <c r="F1" s="1146"/>
      <c r="G1" s="1146"/>
    </row>
    <row r="2" spans="1:17" ht="49.5" customHeight="1">
      <c r="B2" s="223" t="s">
        <v>685</v>
      </c>
      <c r="C2" s="225" t="s">
        <v>483</v>
      </c>
      <c r="D2" s="225" t="s">
        <v>161</v>
      </c>
      <c r="E2" s="1163" t="s">
        <v>480</v>
      </c>
      <c r="F2" s="1163"/>
      <c r="G2" s="223" t="s">
        <v>713</v>
      </c>
      <c r="O2" s="440"/>
      <c r="P2" s="440"/>
      <c r="Q2" s="440"/>
    </row>
    <row r="3" spans="1:17" ht="15.75" customHeight="1">
      <c r="A3" s="245" t="s">
        <v>165</v>
      </c>
      <c r="B3" s="246" t="s">
        <v>477</v>
      </c>
      <c r="C3" s="1156" t="s">
        <v>566</v>
      </c>
      <c r="D3" s="1157"/>
      <c r="E3" s="247" t="s">
        <v>478</v>
      </c>
      <c r="F3" s="1158" t="s">
        <v>565</v>
      </c>
      <c r="G3" s="1159"/>
    </row>
    <row r="4" spans="1:17" s="229" customFormat="1" ht="47.25" customHeight="1">
      <c r="A4" s="245" t="s">
        <v>162</v>
      </c>
      <c r="B4" s="248" t="s">
        <v>513</v>
      </c>
      <c r="C4" s="248" t="s">
        <v>514</v>
      </c>
      <c r="D4" s="249" t="s">
        <v>163</v>
      </c>
      <c r="E4" s="250" t="s">
        <v>513</v>
      </c>
      <c r="F4" s="248" t="s">
        <v>514</v>
      </c>
      <c r="G4" s="248" t="s">
        <v>163</v>
      </c>
    </row>
    <row r="5" spans="1:17">
      <c r="A5" s="251">
        <v>1</v>
      </c>
      <c r="B5" s="314">
        <v>21022</v>
      </c>
      <c r="C5" s="314">
        <v>8251</v>
      </c>
      <c r="D5" s="298"/>
      <c r="E5" s="315">
        <v>30975</v>
      </c>
      <c r="F5" s="317">
        <v>5795</v>
      </c>
      <c r="G5" s="276"/>
    </row>
    <row r="6" spans="1:17" ht="15" customHeight="1">
      <c r="A6" s="251">
        <v>2</v>
      </c>
      <c r="B6" s="314">
        <v>30248</v>
      </c>
      <c r="C6" s="314">
        <v>9609</v>
      </c>
      <c r="D6" s="274"/>
      <c r="E6" s="315">
        <v>16087</v>
      </c>
      <c r="F6" s="317">
        <v>7953</v>
      </c>
      <c r="G6" s="276"/>
    </row>
    <row r="7" spans="1:17" ht="15" customHeight="1">
      <c r="A7" s="251">
        <v>3</v>
      </c>
      <c r="B7" s="314">
        <v>29580</v>
      </c>
      <c r="C7" s="314">
        <v>11726</v>
      </c>
      <c r="D7" s="298"/>
      <c r="E7" s="315">
        <v>25433</v>
      </c>
      <c r="F7" s="317">
        <v>9301</v>
      </c>
      <c r="G7" s="276"/>
    </row>
    <row r="8" spans="1:17" ht="15" customHeight="1">
      <c r="A8" s="251">
        <v>4</v>
      </c>
      <c r="B8" s="314">
        <v>26702</v>
      </c>
      <c r="C8" s="314">
        <v>11739</v>
      </c>
      <c r="D8" s="298"/>
      <c r="E8" s="315">
        <v>17968</v>
      </c>
      <c r="F8" s="316">
        <v>10032</v>
      </c>
      <c r="G8" s="316"/>
    </row>
    <row r="9" spans="1:17" ht="15" customHeight="1">
      <c r="A9" s="251">
        <v>5</v>
      </c>
      <c r="B9" s="314">
        <v>32704</v>
      </c>
      <c r="C9" s="314">
        <v>12329</v>
      </c>
      <c r="D9" s="298"/>
      <c r="E9" s="315">
        <v>22788</v>
      </c>
      <c r="F9" s="317">
        <v>11791</v>
      </c>
      <c r="G9" s="317"/>
    </row>
    <row r="10" spans="1:17" ht="15" customHeight="1">
      <c r="A10" s="251">
        <v>6</v>
      </c>
      <c r="B10" s="314">
        <v>58267</v>
      </c>
      <c r="C10" s="314">
        <v>13151</v>
      </c>
      <c r="D10" s="318">
        <v>13151</v>
      </c>
      <c r="E10" s="315">
        <v>9301</v>
      </c>
      <c r="F10" s="317">
        <v>12458</v>
      </c>
      <c r="G10" s="317"/>
    </row>
    <row r="11" spans="1:17" ht="15.75" customHeight="1">
      <c r="A11" s="251">
        <v>7</v>
      </c>
      <c r="B11" s="314">
        <v>9609</v>
      </c>
      <c r="C11" s="314">
        <v>14770</v>
      </c>
      <c r="D11" s="318">
        <v>14770</v>
      </c>
      <c r="E11" s="315">
        <v>17810</v>
      </c>
      <c r="F11" s="317">
        <v>12907</v>
      </c>
      <c r="G11" s="317"/>
    </row>
    <row r="12" spans="1:17" ht="15" customHeight="1">
      <c r="A12" s="251">
        <v>8</v>
      </c>
      <c r="B12" s="314">
        <v>17569</v>
      </c>
      <c r="C12" s="314">
        <v>14998</v>
      </c>
      <c r="D12" s="318">
        <v>14998</v>
      </c>
      <c r="E12" s="315">
        <v>25305</v>
      </c>
      <c r="F12" s="317">
        <v>13110</v>
      </c>
      <c r="G12" s="317">
        <v>13110</v>
      </c>
    </row>
    <row r="13" spans="1:17" ht="15" customHeight="1">
      <c r="A13" s="251">
        <v>9</v>
      </c>
      <c r="B13" s="314">
        <v>19247</v>
      </c>
      <c r="C13" s="314">
        <v>15314</v>
      </c>
      <c r="D13" s="318">
        <v>15314</v>
      </c>
      <c r="E13" s="315">
        <v>12907</v>
      </c>
      <c r="F13" s="317">
        <v>13390</v>
      </c>
      <c r="G13" s="317">
        <v>13390</v>
      </c>
    </row>
    <row r="14" spans="1:17" ht="15" customHeight="1">
      <c r="A14" s="251">
        <v>10</v>
      </c>
      <c r="B14" s="314">
        <v>17348</v>
      </c>
      <c r="C14" s="314">
        <v>17348</v>
      </c>
      <c r="D14" s="318">
        <v>17348</v>
      </c>
      <c r="E14" s="315">
        <v>14759</v>
      </c>
      <c r="F14" s="317">
        <v>14473</v>
      </c>
      <c r="G14" s="317">
        <v>14473</v>
      </c>
    </row>
    <row r="15" spans="1:17">
      <c r="A15" s="251">
        <v>11</v>
      </c>
      <c r="B15" s="314">
        <v>12329</v>
      </c>
      <c r="C15" s="314">
        <v>17569</v>
      </c>
      <c r="D15" s="318">
        <v>17569</v>
      </c>
      <c r="E15" s="315">
        <v>14473</v>
      </c>
      <c r="F15" s="317">
        <v>14759</v>
      </c>
      <c r="G15" s="317">
        <v>14759</v>
      </c>
    </row>
    <row r="16" spans="1:17">
      <c r="A16" s="251">
        <v>12</v>
      </c>
      <c r="B16" s="314">
        <v>14770</v>
      </c>
      <c r="C16" s="314">
        <v>18399</v>
      </c>
      <c r="D16" s="318">
        <v>18399</v>
      </c>
      <c r="E16" s="315">
        <v>13390</v>
      </c>
      <c r="F16" s="317">
        <v>16087</v>
      </c>
      <c r="G16" s="317">
        <v>16087</v>
      </c>
    </row>
    <row r="17" spans="1:7">
      <c r="A17" s="251">
        <v>13</v>
      </c>
      <c r="B17" s="314">
        <v>11739</v>
      </c>
      <c r="C17" s="314">
        <v>18785</v>
      </c>
      <c r="D17" s="318">
        <v>18785</v>
      </c>
      <c r="E17" s="315">
        <v>12458</v>
      </c>
      <c r="F17" s="317">
        <v>16552</v>
      </c>
      <c r="G17" s="317">
        <v>16552</v>
      </c>
    </row>
    <row r="18" spans="1:7">
      <c r="A18" s="251">
        <v>14</v>
      </c>
      <c r="B18" s="314">
        <v>18399</v>
      </c>
      <c r="C18" s="314">
        <v>19247</v>
      </c>
      <c r="D18" s="318">
        <v>19247</v>
      </c>
      <c r="E18" s="315">
        <v>7953</v>
      </c>
      <c r="F18" s="317">
        <v>17810</v>
      </c>
      <c r="G18" s="317">
        <v>17810</v>
      </c>
    </row>
    <row r="19" spans="1:7">
      <c r="A19" s="251">
        <v>15</v>
      </c>
      <c r="B19" s="314">
        <v>22535</v>
      </c>
      <c r="C19" s="314">
        <v>21022</v>
      </c>
      <c r="D19" s="318">
        <v>21022</v>
      </c>
      <c r="E19" s="315">
        <v>11791</v>
      </c>
      <c r="F19" s="317">
        <v>17968</v>
      </c>
      <c r="G19" s="317">
        <v>17968</v>
      </c>
    </row>
    <row r="20" spans="1:7">
      <c r="A20" s="251">
        <v>16</v>
      </c>
      <c r="B20" s="314">
        <v>15314</v>
      </c>
      <c r="C20" s="314">
        <v>22535</v>
      </c>
      <c r="D20" s="260"/>
      <c r="E20" s="315">
        <v>28808</v>
      </c>
      <c r="F20" s="317">
        <v>18783</v>
      </c>
      <c r="G20" s="317">
        <v>18783</v>
      </c>
    </row>
    <row r="21" spans="1:7">
      <c r="A21" s="251">
        <v>17</v>
      </c>
      <c r="B21" s="314">
        <v>13151</v>
      </c>
      <c r="C21" s="314">
        <v>26702</v>
      </c>
      <c r="D21" s="260"/>
      <c r="E21" s="315">
        <v>26886</v>
      </c>
      <c r="F21" s="317">
        <v>19101</v>
      </c>
      <c r="G21" s="317">
        <v>19101</v>
      </c>
    </row>
    <row r="22" spans="1:7">
      <c r="A22" s="251">
        <v>18</v>
      </c>
      <c r="B22" s="314">
        <v>18785</v>
      </c>
      <c r="C22" s="314">
        <v>29580</v>
      </c>
      <c r="D22" s="260"/>
      <c r="E22" s="315">
        <v>16552</v>
      </c>
      <c r="F22" s="317">
        <v>19309</v>
      </c>
      <c r="G22" s="317">
        <v>19309</v>
      </c>
    </row>
    <row r="23" spans="1:7">
      <c r="A23" s="251">
        <v>19</v>
      </c>
      <c r="B23" s="314">
        <v>14998</v>
      </c>
      <c r="C23" s="314">
        <v>30248</v>
      </c>
      <c r="D23" s="262"/>
      <c r="E23" s="315">
        <v>33079</v>
      </c>
      <c r="F23" s="317">
        <v>19750</v>
      </c>
      <c r="G23" s="317">
        <v>19750</v>
      </c>
    </row>
    <row r="24" spans="1:7">
      <c r="A24" s="251">
        <v>20</v>
      </c>
      <c r="B24" s="314">
        <v>8251</v>
      </c>
      <c r="C24" s="314">
        <v>32704</v>
      </c>
      <c r="D24" s="260"/>
      <c r="E24" s="321">
        <v>10032</v>
      </c>
      <c r="F24" s="317">
        <v>21217</v>
      </c>
      <c r="G24" s="317">
        <v>21217</v>
      </c>
    </row>
    <row r="25" spans="1:7">
      <c r="A25" s="251">
        <v>21</v>
      </c>
      <c r="B25" s="314">
        <v>11726</v>
      </c>
      <c r="C25" s="314">
        <v>58267</v>
      </c>
      <c r="D25" s="262"/>
      <c r="E25" s="315">
        <v>13110</v>
      </c>
      <c r="F25" s="317">
        <v>22788</v>
      </c>
      <c r="G25" s="317">
        <v>22788</v>
      </c>
    </row>
    <row r="26" spans="1:7">
      <c r="A26" s="251">
        <v>22</v>
      </c>
      <c r="B26" s="264"/>
      <c r="C26" s="264"/>
      <c r="D26" s="260"/>
      <c r="E26" s="315">
        <v>19750</v>
      </c>
      <c r="F26" s="317">
        <v>25305</v>
      </c>
      <c r="G26" s="268"/>
    </row>
    <row r="27" spans="1:7">
      <c r="A27" s="251">
        <v>23</v>
      </c>
      <c r="B27" s="265"/>
      <c r="C27" s="265"/>
      <c r="D27" s="262"/>
      <c r="E27" s="315">
        <v>19101</v>
      </c>
      <c r="F27" s="317">
        <v>25433</v>
      </c>
      <c r="G27" s="268"/>
    </row>
    <row r="28" spans="1:7">
      <c r="A28" s="251">
        <v>24</v>
      </c>
      <c r="B28" s="264"/>
      <c r="C28" s="264"/>
      <c r="D28" s="260"/>
      <c r="E28" s="315">
        <v>21217</v>
      </c>
      <c r="F28" s="317">
        <v>26886</v>
      </c>
      <c r="G28" s="268"/>
    </row>
    <row r="29" spans="1:7">
      <c r="A29" s="251">
        <v>25</v>
      </c>
      <c r="B29" s="300"/>
      <c r="C29" s="300"/>
      <c r="D29" s="274"/>
      <c r="E29" s="315">
        <v>29741</v>
      </c>
      <c r="F29" s="317">
        <v>28808</v>
      </c>
      <c r="G29" s="268"/>
    </row>
    <row r="30" spans="1:7">
      <c r="A30" s="251">
        <v>26</v>
      </c>
      <c r="B30" s="264"/>
      <c r="C30" s="264"/>
      <c r="D30" s="274"/>
      <c r="E30" s="315">
        <v>18783</v>
      </c>
      <c r="F30" s="317">
        <v>29105</v>
      </c>
      <c r="G30" s="268"/>
    </row>
    <row r="31" spans="1:7">
      <c r="A31" s="251">
        <v>27</v>
      </c>
      <c r="B31" s="264"/>
      <c r="C31" s="264"/>
      <c r="D31" s="274"/>
      <c r="E31" s="315">
        <v>29105</v>
      </c>
      <c r="F31" s="317">
        <v>29741</v>
      </c>
      <c r="G31" s="268"/>
    </row>
    <row r="32" spans="1:7">
      <c r="A32" s="251">
        <v>28</v>
      </c>
      <c r="B32" s="264"/>
      <c r="C32" s="264"/>
      <c r="D32" s="274"/>
      <c r="E32" s="315">
        <v>5795</v>
      </c>
      <c r="F32" s="317">
        <v>30975</v>
      </c>
      <c r="G32" s="268"/>
    </row>
    <row r="33" spans="1:7">
      <c r="A33" s="251">
        <v>29</v>
      </c>
      <c r="B33" s="264"/>
      <c r="C33" s="264"/>
      <c r="D33" s="274"/>
      <c r="E33" s="315">
        <v>19309</v>
      </c>
      <c r="F33" s="317">
        <v>33079</v>
      </c>
      <c r="G33" s="268"/>
    </row>
    <row r="34" spans="1:7">
      <c r="A34" s="251">
        <v>30</v>
      </c>
      <c r="B34" s="264"/>
      <c r="C34" s="264"/>
      <c r="D34" s="274"/>
      <c r="E34" s="266"/>
      <c r="F34" s="322"/>
      <c r="G34" s="268"/>
    </row>
    <row r="35" spans="1:7">
      <c r="A35" s="251">
        <v>31</v>
      </c>
      <c r="B35" s="264"/>
      <c r="C35" s="264"/>
      <c r="D35" s="274"/>
      <c r="E35" s="266"/>
      <c r="F35" s="267"/>
      <c r="G35" s="268"/>
    </row>
    <row r="36" spans="1:7">
      <c r="A36" s="251">
        <v>32</v>
      </c>
      <c r="B36" s="270"/>
      <c r="C36" s="270"/>
      <c r="D36" s="274"/>
      <c r="E36" s="275"/>
      <c r="F36" s="267"/>
      <c r="G36" s="276"/>
    </row>
    <row r="37" spans="1:7">
      <c r="A37" s="251">
        <v>33</v>
      </c>
      <c r="B37" s="270"/>
      <c r="C37" s="270"/>
      <c r="D37" s="274"/>
      <c r="E37" s="271"/>
      <c r="F37" s="267"/>
      <c r="G37" s="276"/>
    </row>
    <row r="38" spans="1:7">
      <c r="A38" s="251">
        <v>34</v>
      </c>
      <c r="B38" s="270"/>
      <c r="C38" s="270"/>
      <c r="D38" s="274"/>
      <c r="E38" s="271"/>
      <c r="F38" s="267"/>
      <c r="G38" s="276"/>
    </row>
    <row r="39" spans="1:7" ht="15.75" thickBot="1">
      <c r="A39" s="277">
        <v>35</v>
      </c>
      <c r="B39" s="278"/>
      <c r="C39" s="278"/>
      <c r="D39" s="279"/>
      <c r="E39" s="280"/>
      <c r="F39" s="281"/>
      <c r="G39" s="282"/>
    </row>
    <row r="40" spans="1:7" ht="15.75">
      <c r="A40" s="1173" t="s">
        <v>164</v>
      </c>
      <c r="B40" s="1174"/>
      <c r="C40" s="283">
        <v>21</v>
      </c>
      <c r="D40" s="284">
        <v>10</v>
      </c>
      <c r="E40" s="285" t="s">
        <v>164</v>
      </c>
      <c r="F40" s="283">
        <v>29</v>
      </c>
      <c r="G40" s="283">
        <v>14</v>
      </c>
    </row>
    <row r="41" spans="1:7" ht="15.75">
      <c r="A41" s="1166" t="s">
        <v>166</v>
      </c>
      <c r="B41" s="1167"/>
      <c r="C41" s="251">
        <f>C40/4</f>
        <v>5.25</v>
      </c>
      <c r="D41" s="1164" t="s">
        <v>520</v>
      </c>
      <c r="E41" s="286" t="s">
        <v>166</v>
      </c>
      <c r="F41" s="251">
        <f>F40/4</f>
        <v>7.25</v>
      </c>
      <c r="G41" s="1154" t="s">
        <v>519</v>
      </c>
    </row>
    <row r="42" spans="1:7" ht="15.75">
      <c r="A42" s="1166" t="s">
        <v>167</v>
      </c>
      <c r="B42" s="1167"/>
      <c r="C42" s="251">
        <f>C40/4*3</f>
        <v>15.75</v>
      </c>
      <c r="D42" s="1183"/>
      <c r="E42" s="286" t="s">
        <v>167</v>
      </c>
      <c r="F42" s="251">
        <f>F40/4*3</f>
        <v>21.75</v>
      </c>
      <c r="G42" s="1155"/>
    </row>
    <row r="43" spans="1:7" ht="17.25" thickBot="1">
      <c r="A43" s="1170" t="s">
        <v>745</v>
      </c>
      <c r="B43" s="1171"/>
      <c r="C43" s="1172"/>
      <c r="D43" s="338">
        <f>AVERAGE(D10:D19)</f>
        <v>17060.3</v>
      </c>
      <c r="E43" s="1175" t="s">
        <v>746</v>
      </c>
      <c r="F43" s="1184"/>
      <c r="G43" s="282">
        <f>AVERAGE(G12:G25)</f>
        <v>17506.928571428572</v>
      </c>
    </row>
    <row r="44" spans="1:7" ht="42" customHeight="1">
      <c r="A44" s="1136" t="s">
        <v>131</v>
      </c>
      <c r="B44" s="1160"/>
      <c r="C44" s="1161"/>
      <c r="D44" s="1162"/>
      <c r="E44" s="1162"/>
      <c r="F44" s="1162"/>
      <c r="G44" s="1162"/>
    </row>
    <row r="45" spans="1:7">
      <c r="A45" s="243" t="s">
        <v>454</v>
      </c>
    </row>
    <row r="46" spans="1:7" ht="15.75">
      <c r="A46" s="288" t="s">
        <v>452</v>
      </c>
    </row>
    <row r="47" spans="1:7" ht="15.75">
      <c r="A47" s="288"/>
    </row>
    <row r="48" spans="1:7" ht="21">
      <c r="A48" s="1145" t="s">
        <v>580</v>
      </c>
      <c r="B48" s="1146"/>
      <c r="C48" s="1146"/>
      <c r="D48" s="1146"/>
      <c r="E48" s="1146"/>
      <c r="F48" s="1146"/>
      <c r="G48" s="1146"/>
    </row>
    <row r="49" spans="1:7" ht="18">
      <c r="B49" s="223" t="s">
        <v>682</v>
      </c>
      <c r="C49" s="225"/>
      <c r="D49" s="225" t="s">
        <v>161</v>
      </c>
      <c r="E49" s="1163"/>
      <c r="F49" s="1163"/>
      <c r="G49" s="223" t="s">
        <v>453</v>
      </c>
    </row>
    <row r="50" spans="1:7" ht="15.75">
      <c r="A50" s="245" t="s">
        <v>165</v>
      </c>
      <c r="B50" s="246" t="s">
        <v>96</v>
      </c>
      <c r="C50" s="1156"/>
      <c r="D50" s="1157"/>
      <c r="E50" s="247" t="s">
        <v>95</v>
      </c>
      <c r="F50" s="1158"/>
      <c r="G50" s="1159"/>
    </row>
    <row r="51" spans="1:7" ht="34.5">
      <c r="A51" s="245" t="s">
        <v>162</v>
      </c>
      <c r="B51" s="248" t="s">
        <v>513</v>
      </c>
      <c r="C51" s="248" t="s">
        <v>514</v>
      </c>
      <c r="D51" s="249" t="s">
        <v>163</v>
      </c>
      <c r="E51" s="250" t="s">
        <v>513</v>
      </c>
      <c r="F51" s="248" t="s">
        <v>514</v>
      </c>
      <c r="G51" s="248" t="s">
        <v>163</v>
      </c>
    </row>
    <row r="52" spans="1:7">
      <c r="A52" s="251"/>
      <c r="B52" s="289"/>
      <c r="C52" s="289"/>
      <c r="D52" s="290"/>
      <c r="E52" s="271"/>
      <c r="F52" s="291"/>
      <c r="G52" s="276"/>
    </row>
    <row r="53" spans="1:7">
      <c r="A53" s="251"/>
      <c r="B53" s="289"/>
      <c r="C53" s="289"/>
      <c r="D53" s="290"/>
      <c r="E53" s="271"/>
      <c r="F53" s="291"/>
      <c r="G53" s="276"/>
    </row>
    <row r="54" spans="1:7">
      <c r="A54" s="251"/>
      <c r="B54" s="289"/>
      <c r="C54" s="289"/>
      <c r="D54" s="290"/>
      <c r="E54" s="271"/>
      <c r="F54" s="291"/>
      <c r="G54" s="276"/>
    </row>
    <row r="55" spans="1:7">
      <c r="A55" s="251"/>
      <c r="B55" s="289"/>
      <c r="C55" s="289"/>
      <c r="D55" s="290"/>
      <c r="E55" s="271"/>
      <c r="F55" s="291"/>
      <c r="G55" s="276"/>
    </row>
    <row r="56" spans="1:7">
      <c r="A56" s="251"/>
      <c r="B56" s="289"/>
      <c r="C56" s="289"/>
      <c r="D56" s="290"/>
      <c r="E56" s="271"/>
      <c r="F56" s="291"/>
      <c r="G56" s="276"/>
    </row>
    <row r="57" spans="1:7">
      <c r="A57" s="251"/>
      <c r="B57" s="289"/>
      <c r="C57" s="289"/>
      <c r="D57" s="290"/>
      <c r="E57" s="271"/>
      <c r="F57" s="291"/>
      <c r="G57" s="276"/>
    </row>
    <row r="58" spans="1:7">
      <c r="A58" s="251"/>
      <c r="B58" s="289"/>
      <c r="C58" s="289"/>
      <c r="D58" s="290"/>
      <c r="E58" s="271"/>
      <c r="F58" s="291"/>
      <c r="G58" s="292"/>
    </row>
    <row r="59" spans="1:7">
      <c r="A59" s="251"/>
      <c r="B59" s="289"/>
      <c r="C59" s="289"/>
      <c r="D59" s="290"/>
      <c r="E59" s="293"/>
      <c r="F59" s="289"/>
      <c r="G59" s="292"/>
    </row>
    <row r="60" spans="1:7">
      <c r="A60" s="251"/>
      <c r="B60" s="289"/>
      <c r="C60" s="289"/>
      <c r="D60" s="290"/>
      <c r="E60" s="293"/>
      <c r="F60" s="289"/>
      <c r="G60" s="292"/>
    </row>
    <row r="61" spans="1:7">
      <c r="A61" s="251"/>
      <c r="B61" s="289"/>
      <c r="C61" s="289"/>
      <c r="D61" s="290"/>
      <c r="E61" s="293"/>
      <c r="F61" s="289"/>
      <c r="G61" s="292"/>
    </row>
    <row r="62" spans="1:7">
      <c r="A62" s="251"/>
      <c r="B62" s="289"/>
      <c r="C62" s="289"/>
      <c r="D62" s="290"/>
      <c r="E62" s="293"/>
      <c r="F62" s="289"/>
      <c r="G62" s="292"/>
    </row>
    <row r="63" spans="1:7">
      <c r="A63" s="251"/>
      <c r="B63" s="289"/>
      <c r="C63" s="289"/>
      <c r="D63" s="290"/>
      <c r="E63" s="293"/>
      <c r="F63" s="289"/>
      <c r="G63" s="292"/>
    </row>
    <row r="64" spans="1:7">
      <c r="A64" s="251"/>
      <c r="B64" s="289"/>
      <c r="C64" s="289"/>
      <c r="D64" s="290"/>
      <c r="E64" s="293"/>
      <c r="F64" s="289"/>
      <c r="G64" s="292"/>
    </row>
    <row r="65" spans="1:7">
      <c r="A65" s="251"/>
      <c r="B65" s="289"/>
      <c r="C65" s="289"/>
      <c r="D65" s="290"/>
      <c r="E65" s="293"/>
      <c r="F65" s="289"/>
      <c r="G65" s="292"/>
    </row>
    <row r="66" spans="1:7">
      <c r="A66" s="251"/>
      <c r="B66" s="289"/>
      <c r="C66" s="289"/>
      <c r="D66" s="290"/>
      <c r="E66" s="293"/>
      <c r="F66" s="289"/>
      <c r="G66" s="292"/>
    </row>
    <row r="67" spans="1:7">
      <c r="A67" s="251"/>
      <c r="B67" s="289"/>
      <c r="C67" s="289"/>
      <c r="D67" s="290"/>
      <c r="E67" s="293"/>
      <c r="F67" s="289"/>
      <c r="G67" s="292"/>
    </row>
    <row r="68" spans="1:7">
      <c r="A68" s="251"/>
      <c r="B68" s="289"/>
      <c r="C68" s="289"/>
      <c r="D68" s="290"/>
      <c r="E68" s="293"/>
      <c r="F68" s="289"/>
      <c r="G68" s="292"/>
    </row>
    <row r="69" spans="1:7">
      <c r="A69" s="251"/>
      <c r="B69" s="289"/>
      <c r="C69" s="289"/>
      <c r="D69" s="290"/>
      <c r="E69" s="293"/>
      <c r="F69" s="289"/>
      <c r="G69" s="292"/>
    </row>
    <row r="70" spans="1:7">
      <c r="A70" s="251"/>
      <c r="B70" s="289"/>
      <c r="C70" s="289"/>
      <c r="D70" s="290"/>
      <c r="E70" s="293"/>
      <c r="F70" s="289"/>
      <c r="G70" s="292"/>
    </row>
    <row r="71" spans="1:7">
      <c r="A71" s="251"/>
      <c r="B71" s="289"/>
      <c r="C71" s="289"/>
      <c r="D71" s="290"/>
      <c r="E71" s="293"/>
      <c r="F71" s="289"/>
      <c r="G71" s="292"/>
    </row>
    <row r="72" spans="1:7">
      <c r="A72" s="251"/>
      <c r="B72" s="289"/>
      <c r="C72" s="289"/>
      <c r="D72" s="290"/>
      <c r="E72" s="293"/>
      <c r="F72" s="289"/>
      <c r="G72" s="292"/>
    </row>
    <row r="73" spans="1:7">
      <c r="A73" s="251"/>
      <c r="B73" s="289"/>
      <c r="C73" s="289"/>
      <c r="D73" s="290"/>
      <c r="E73" s="293"/>
      <c r="F73" s="289"/>
      <c r="G73" s="292"/>
    </row>
    <row r="74" spans="1:7">
      <c r="A74" s="251"/>
      <c r="B74" s="289"/>
      <c r="C74" s="289"/>
      <c r="D74" s="290"/>
      <c r="E74" s="293"/>
      <c r="F74" s="289"/>
      <c r="G74" s="292"/>
    </row>
    <row r="75" spans="1:7">
      <c r="A75" s="251"/>
      <c r="B75" s="289"/>
      <c r="C75" s="289"/>
      <c r="D75" s="290"/>
      <c r="E75" s="293"/>
      <c r="F75" s="289"/>
      <c r="G75" s="292"/>
    </row>
    <row r="76" spans="1:7">
      <c r="A76" s="251"/>
      <c r="B76" s="289"/>
      <c r="C76" s="289"/>
      <c r="D76" s="294"/>
      <c r="E76" s="293"/>
      <c r="F76" s="289"/>
      <c r="G76" s="292"/>
    </row>
    <row r="77" spans="1:7">
      <c r="A77" s="251"/>
      <c r="B77" s="289"/>
      <c r="C77" s="289"/>
      <c r="D77" s="295"/>
      <c r="E77" s="293"/>
      <c r="F77" s="289"/>
      <c r="G77" s="292"/>
    </row>
    <row r="78" spans="1:7">
      <c r="A78" s="251"/>
      <c r="B78" s="289"/>
      <c r="C78" s="289"/>
      <c r="D78" s="295"/>
      <c r="E78" s="293"/>
      <c r="F78" s="289"/>
      <c r="G78" s="292"/>
    </row>
    <row r="79" spans="1:7">
      <c r="A79" s="251"/>
      <c r="B79" s="289"/>
      <c r="C79" s="289"/>
      <c r="D79" s="295"/>
      <c r="E79" s="293"/>
      <c r="F79" s="289"/>
      <c r="G79" s="289"/>
    </row>
    <row r="80" spans="1:7">
      <c r="A80" s="251"/>
      <c r="B80" s="289"/>
      <c r="C80" s="289"/>
      <c r="D80" s="295"/>
      <c r="E80" s="293"/>
      <c r="F80" s="289"/>
      <c r="G80" s="289"/>
    </row>
    <row r="81" spans="1:7">
      <c r="A81" s="251"/>
      <c r="B81" s="289"/>
      <c r="C81" s="289"/>
      <c r="D81" s="295"/>
      <c r="E81" s="293"/>
      <c r="F81" s="289"/>
      <c r="G81" s="289"/>
    </row>
    <row r="82" spans="1:7">
      <c r="A82" s="251"/>
      <c r="B82" s="289"/>
      <c r="C82" s="289"/>
      <c r="D82" s="294"/>
      <c r="E82" s="293"/>
      <c r="F82" s="289"/>
      <c r="G82" s="289"/>
    </row>
    <row r="83" spans="1:7">
      <c r="A83" s="251"/>
      <c r="B83" s="289"/>
      <c r="C83" s="289"/>
      <c r="D83" s="294"/>
      <c r="E83" s="293"/>
      <c r="F83" s="289"/>
      <c r="G83" s="289"/>
    </row>
    <row r="84" spans="1:7">
      <c r="A84" s="251"/>
      <c r="B84" s="289"/>
      <c r="C84" s="289"/>
      <c r="D84" s="294"/>
      <c r="E84" s="293"/>
      <c r="F84" s="289"/>
      <c r="G84" s="289"/>
    </row>
    <row r="85" spans="1:7">
      <c r="A85" s="251"/>
      <c r="B85" s="289"/>
      <c r="C85" s="289"/>
      <c r="D85" s="294"/>
      <c r="E85" s="293"/>
      <c r="F85" s="289"/>
      <c r="G85" s="289"/>
    </row>
    <row r="86" spans="1:7">
      <c r="A86" s="251"/>
      <c r="B86" s="289"/>
      <c r="C86" s="289"/>
      <c r="D86" s="294"/>
      <c r="E86" s="293"/>
      <c r="F86" s="289"/>
      <c r="G86" s="289"/>
    </row>
    <row r="87" spans="1:7">
      <c r="A87" s="251"/>
      <c r="B87" s="289"/>
      <c r="C87" s="289"/>
      <c r="D87" s="294"/>
      <c r="E87" s="293"/>
      <c r="F87" s="289"/>
      <c r="G87" s="289"/>
    </row>
    <row r="88" spans="1:7">
      <c r="A88" s="251"/>
      <c r="B88" s="289"/>
      <c r="C88" s="289"/>
      <c r="D88" s="294"/>
      <c r="E88" s="293"/>
      <c r="F88" s="289"/>
      <c r="G88" s="289"/>
    </row>
    <row r="89" spans="1:7">
      <c r="A89" s="251"/>
      <c r="B89" s="289"/>
      <c r="C89" s="289"/>
      <c r="D89" s="294"/>
      <c r="E89" s="293"/>
      <c r="F89" s="289"/>
      <c r="G89" s="289"/>
    </row>
    <row r="90" spans="1:7">
      <c r="A90" s="251"/>
      <c r="B90" s="289"/>
      <c r="C90" s="289"/>
      <c r="D90" s="294"/>
      <c r="E90" s="293"/>
      <c r="F90" s="289"/>
      <c r="G90" s="289"/>
    </row>
    <row r="91" spans="1:7">
      <c r="A91" s="251"/>
      <c r="B91" s="296"/>
      <c r="C91" s="296"/>
      <c r="D91" s="287"/>
      <c r="E91" s="293"/>
      <c r="F91" s="289"/>
      <c r="G91" s="292"/>
    </row>
    <row r="92" spans="1:7">
      <c r="A92" s="251"/>
      <c r="B92" s="296"/>
      <c r="C92" s="296"/>
      <c r="D92" s="287"/>
      <c r="E92" s="293"/>
      <c r="F92" s="289"/>
      <c r="G92" s="292"/>
    </row>
    <row r="93" spans="1:7">
      <c r="A93" s="251"/>
      <c r="B93" s="296"/>
      <c r="C93" s="296"/>
      <c r="D93" s="287"/>
      <c r="E93" s="293"/>
      <c r="F93" s="289"/>
      <c r="G93" s="292"/>
    </row>
    <row r="94" spans="1:7">
      <c r="A94" s="251"/>
      <c r="B94" s="296"/>
      <c r="C94" s="296"/>
      <c r="D94" s="287"/>
      <c r="E94" s="293"/>
      <c r="F94" s="289"/>
      <c r="G94" s="292"/>
    </row>
    <row r="95" spans="1:7">
      <c r="A95" s="251"/>
      <c r="B95" s="296"/>
      <c r="C95" s="296"/>
      <c r="D95" s="287"/>
      <c r="E95" s="293"/>
      <c r="F95" s="289"/>
      <c r="G95" s="292"/>
    </row>
    <row r="96" spans="1:7">
      <c r="A96" s="251"/>
      <c r="B96" s="296"/>
      <c r="C96" s="296"/>
      <c r="D96" s="287"/>
      <c r="E96" s="297"/>
      <c r="F96" s="292"/>
      <c r="G96" s="292"/>
    </row>
  </sheetData>
  <mergeCells count="17">
    <mergeCell ref="A40:B40"/>
    <mergeCell ref="A1:G1"/>
    <mergeCell ref="C3:D3"/>
    <mergeCell ref="F3:G3"/>
    <mergeCell ref="E2:F2"/>
    <mergeCell ref="G41:G42"/>
    <mergeCell ref="C50:D50"/>
    <mergeCell ref="F50:G50"/>
    <mergeCell ref="A48:G48"/>
    <mergeCell ref="A44:B44"/>
    <mergeCell ref="C44:G44"/>
    <mergeCell ref="E49:F49"/>
    <mergeCell ref="D41:D42"/>
    <mergeCell ref="A42:B42"/>
    <mergeCell ref="A41:B41"/>
    <mergeCell ref="E43:F43"/>
    <mergeCell ref="A43:C43"/>
  </mergeCells>
  <phoneticPr fontId="3" type="noConversion"/>
  <printOptions horizontalCentered="1" verticalCentered="1"/>
  <pageMargins left="0.23622047244094491" right="0.23622047244094491" top="0.55118110236220474" bottom="0.51181102362204722" header="0.31496062992125984" footer="0.31496062992125984"/>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67D02-26E3-4C28-B250-69C6058B8EC5}">
  <sheetPr>
    <tabColor indexed="10"/>
    <pageSetUpPr fitToPage="1"/>
  </sheetPr>
  <dimension ref="A1:Q35"/>
  <sheetViews>
    <sheetView workbookViewId="0">
      <selection activeCell="O2" sqref="O2:Q2"/>
    </sheetView>
  </sheetViews>
  <sheetFormatPr defaultRowHeight="15"/>
  <cols>
    <col min="1" max="1" width="8.625" style="18" customWidth="1"/>
    <col min="2" max="2" width="30.625" style="18" customWidth="1"/>
    <col min="3" max="3" width="14.25" style="16" customWidth="1"/>
    <col min="4" max="4" width="14" style="16" customWidth="1"/>
    <col min="5" max="16384" width="9" style="16"/>
  </cols>
  <sheetData>
    <row r="1" spans="1:17" ht="23.25" customHeight="1">
      <c r="A1" s="1104" t="s">
        <v>455</v>
      </c>
      <c r="B1" s="1104"/>
      <c r="C1" s="1105"/>
      <c r="D1" s="1105"/>
      <c r="E1" s="7"/>
    </row>
    <row r="2" spans="1:17" ht="15.75" customHeight="1">
      <c r="A2" s="80" t="s">
        <v>96</v>
      </c>
      <c r="B2" s="17" t="s">
        <v>566</v>
      </c>
      <c r="C2" s="1199" t="s">
        <v>712</v>
      </c>
      <c r="D2" s="1114"/>
      <c r="O2" s="439"/>
      <c r="P2" s="439"/>
      <c r="Q2" s="439"/>
    </row>
    <row r="3" spans="1:17" ht="8.25" customHeight="1">
      <c r="C3" s="1106"/>
      <c r="D3" s="1106"/>
    </row>
    <row r="4" spans="1:17" ht="16.5" customHeight="1">
      <c r="A4" s="1196" t="s">
        <v>533</v>
      </c>
      <c r="B4" s="1194" t="s">
        <v>159</v>
      </c>
      <c r="C4" s="1196" t="s">
        <v>160</v>
      </c>
      <c r="D4" s="1194" t="s">
        <v>19</v>
      </c>
    </row>
    <row r="5" spans="1:17">
      <c r="A5" s="1197"/>
      <c r="B5" s="1198"/>
      <c r="C5" s="1197"/>
      <c r="D5" s="1195"/>
    </row>
    <row r="6" spans="1:17" ht="16.5" customHeight="1">
      <c r="A6" s="15" t="s">
        <v>473</v>
      </c>
      <c r="B6" s="15" t="s">
        <v>474</v>
      </c>
      <c r="C6" s="412">
        <v>99.77</v>
      </c>
      <c r="D6" s="79" t="s">
        <v>134</v>
      </c>
    </row>
    <row r="7" spans="1:17" ht="16.5" customHeight="1">
      <c r="A7" s="15" t="s">
        <v>100</v>
      </c>
      <c r="B7" s="15" t="s">
        <v>101</v>
      </c>
      <c r="C7" s="221">
        <v>103.63</v>
      </c>
      <c r="D7" s="79" t="s">
        <v>134</v>
      </c>
    </row>
    <row r="8" spans="1:17" ht="16.5" customHeight="1">
      <c r="A8" s="15" t="s">
        <v>102</v>
      </c>
      <c r="B8" s="1191" t="s">
        <v>105</v>
      </c>
      <c r="C8" s="1185">
        <v>103.13</v>
      </c>
      <c r="D8" s="1188" t="s">
        <v>134</v>
      </c>
    </row>
    <row r="9" spans="1:17" ht="16.5" customHeight="1">
      <c r="A9" s="15" t="s">
        <v>103</v>
      </c>
      <c r="B9" s="1192"/>
      <c r="C9" s="1186"/>
      <c r="D9" s="1189"/>
    </row>
    <row r="10" spans="1:17" ht="16.5" customHeight="1">
      <c r="A10" s="15" t="s">
        <v>104</v>
      </c>
      <c r="B10" s="1193"/>
      <c r="C10" s="1187"/>
      <c r="D10" s="1190"/>
    </row>
    <row r="11" spans="1:17" ht="33.950000000000003" customHeight="1">
      <c r="A11" s="15" t="s">
        <v>106</v>
      </c>
      <c r="B11" s="68" t="s">
        <v>107</v>
      </c>
      <c r="C11" s="221">
        <v>97.53</v>
      </c>
      <c r="D11" s="79" t="s">
        <v>134</v>
      </c>
    </row>
    <row r="12" spans="1:17" ht="33.950000000000003" customHeight="1">
      <c r="A12" s="15" t="s">
        <v>93</v>
      </c>
      <c r="B12" s="68" t="s">
        <v>108</v>
      </c>
      <c r="C12" s="221">
        <v>110.89</v>
      </c>
      <c r="D12" s="79" t="s">
        <v>134</v>
      </c>
    </row>
    <row r="13" spans="1:17" ht="33.950000000000003" customHeight="1">
      <c r="A13" s="15" t="s">
        <v>94</v>
      </c>
      <c r="B13" s="68" t="s">
        <v>109</v>
      </c>
      <c r="C13" s="221">
        <v>90.71</v>
      </c>
      <c r="D13" s="79" t="s">
        <v>134</v>
      </c>
    </row>
    <row r="14" spans="1:17" ht="16.5" customHeight="1">
      <c r="A14" s="21"/>
      <c r="B14" s="21"/>
      <c r="C14" s="19"/>
      <c r="D14" s="20"/>
    </row>
    <row r="15" spans="1:17" ht="16.5" customHeight="1">
      <c r="A15" s="21"/>
      <c r="B15" s="21"/>
      <c r="C15" s="19"/>
      <c r="D15" s="20"/>
    </row>
    <row r="16" spans="1:17" ht="16.5" customHeight="1">
      <c r="A16" s="22"/>
      <c r="B16" s="22"/>
      <c r="C16" s="20"/>
      <c r="D16" s="20"/>
    </row>
    <row r="17" spans="1:4" ht="16.5" customHeight="1">
      <c r="A17" s="22"/>
      <c r="B17" s="22"/>
      <c r="C17" s="20"/>
      <c r="D17" s="20"/>
    </row>
    <row r="18" spans="1:4" ht="16.5" customHeight="1">
      <c r="A18" s="22"/>
      <c r="B18" s="22"/>
      <c r="C18" s="20"/>
      <c r="D18" s="20"/>
    </row>
    <row r="19" spans="1:4" ht="16.5" customHeight="1">
      <c r="A19" s="22"/>
      <c r="B19" s="22"/>
      <c r="C19" s="20"/>
      <c r="D19" s="20"/>
    </row>
    <row r="20" spans="1:4" ht="16.5" customHeight="1">
      <c r="A20" s="22"/>
      <c r="B20" s="22"/>
      <c r="C20" s="20"/>
      <c r="D20" s="20"/>
    </row>
    <row r="21" spans="1:4" ht="16.5" customHeight="1">
      <c r="A21" s="195"/>
      <c r="B21" s="195"/>
      <c r="C21" s="20"/>
      <c r="D21" s="20"/>
    </row>
    <row r="22" spans="1:4" ht="16.5" customHeight="1">
      <c r="A22" s="195"/>
      <c r="B22" s="195"/>
      <c r="C22" s="20"/>
      <c r="D22" s="20"/>
    </row>
    <row r="23" spans="1:4" ht="16.5" customHeight="1">
      <c r="A23" s="195"/>
      <c r="B23" s="195"/>
      <c r="C23" s="20"/>
      <c r="D23" s="20"/>
    </row>
    <row r="24" spans="1:4" ht="16.5" customHeight="1">
      <c r="A24" s="195"/>
      <c r="B24" s="195"/>
      <c r="C24" s="20"/>
      <c r="D24" s="20"/>
    </row>
    <row r="25" spans="1:4" ht="16.5" customHeight="1">
      <c r="A25" s="195"/>
      <c r="B25" s="195"/>
      <c r="C25" s="20"/>
      <c r="D25" s="20"/>
    </row>
    <row r="26" spans="1:4" ht="16.5" customHeight="1">
      <c r="A26" s="195"/>
      <c r="B26" s="195"/>
      <c r="C26" s="20"/>
      <c r="D26" s="20"/>
    </row>
    <row r="27" spans="1:4" ht="16.5" customHeight="1">
      <c r="A27" s="195"/>
      <c r="B27" s="195"/>
      <c r="C27" s="20"/>
      <c r="D27" s="20"/>
    </row>
    <row r="28" spans="1:4" ht="16.5" customHeight="1">
      <c r="A28" s="195"/>
      <c r="B28" s="195"/>
      <c r="C28" s="20"/>
      <c r="D28" s="20"/>
    </row>
    <row r="29" spans="1:4" ht="16.5" customHeight="1">
      <c r="A29" s="195"/>
      <c r="B29" s="195"/>
      <c r="C29" s="20"/>
      <c r="D29" s="20"/>
    </row>
    <row r="30" spans="1:4" ht="16.5" customHeight="1">
      <c r="A30" s="195"/>
      <c r="B30" s="195"/>
      <c r="C30" s="20"/>
      <c r="D30" s="20"/>
    </row>
    <row r="31" spans="1:4" ht="16.5" customHeight="1">
      <c r="A31" s="195"/>
      <c r="B31" s="195"/>
      <c r="C31" s="20"/>
      <c r="D31" s="20"/>
    </row>
    <row r="32" spans="1:4" ht="16.5" customHeight="1">
      <c r="A32" s="195"/>
      <c r="B32" s="195"/>
      <c r="C32" s="20"/>
      <c r="D32" s="20"/>
    </row>
    <row r="33" spans="1:4" ht="16.5" customHeight="1">
      <c r="A33" s="195"/>
      <c r="B33" s="195"/>
      <c r="C33" s="20"/>
      <c r="D33" s="20"/>
    </row>
    <row r="34" spans="1:4" ht="16.5" customHeight="1">
      <c r="A34" s="195"/>
      <c r="B34" s="195"/>
      <c r="C34" s="20"/>
      <c r="D34" s="20"/>
    </row>
    <row r="35" spans="1:4" ht="16.5" customHeight="1">
      <c r="A35" s="195"/>
      <c r="B35" s="195"/>
      <c r="C35" s="20"/>
      <c r="D35" s="20"/>
    </row>
  </sheetData>
  <mergeCells count="10">
    <mergeCell ref="C8:C10"/>
    <mergeCell ref="D8:D10"/>
    <mergeCell ref="B8:B10"/>
    <mergeCell ref="A1:D1"/>
    <mergeCell ref="D4:D5"/>
    <mergeCell ref="C3:D3"/>
    <mergeCell ref="A4:A5"/>
    <mergeCell ref="C4:C5"/>
    <mergeCell ref="B4:B5"/>
    <mergeCell ref="C2:D2"/>
  </mergeCells>
  <phoneticPr fontId="3" type="noConversion"/>
  <printOptions horizontalCentered="1"/>
  <pageMargins left="0.23622047244094491" right="0.23622047244094491" top="0.55118110236220474" bottom="0.51181102362204722" header="0.31496062992125984" footer="0.31496062992125984"/>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1501A-38FA-481D-8F5B-65A7B4BE8D1A}">
  <sheetPr>
    <tabColor indexed="10"/>
    <pageSetUpPr fitToPage="1"/>
  </sheetPr>
  <dimension ref="A1:Q36"/>
  <sheetViews>
    <sheetView workbookViewId="0">
      <selection activeCell="O2" sqref="O2:Q2"/>
    </sheetView>
  </sheetViews>
  <sheetFormatPr defaultRowHeight="15"/>
  <cols>
    <col min="1" max="1" width="11.125" style="18" customWidth="1"/>
    <col min="2" max="2" width="30.625" style="18" customWidth="1"/>
    <col min="3" max="3" width="24.375" style="16" customWidth="1"/>
    <col min="4" max="16384" width="9" style="16"/>
  </cols>
  <sheetData>
    <row r="1" spans="1:17" ht="23.25" customHeight="1">
      <c r="A1" s="1104" t="s">
        <v>456</v>
      </c>
      <c r="B1" s="1104"/>
      <c r="C1" s="1105"/>
      <c r="D1" s="7"/>
    </row>
    <row r="2" spans="1:17" ht="18" customHeight="1">
      <c r="A2" s="80" t="s">
        <v>95</v>
      </c>
      <c r="B2" s="81" t="s">
        <v>565</v>
      </c>
      <c r="C2" s="435"/>
      <c r="D2" s="7"/>
      <c r="O2" s="439"/>
      <c r="P2" s="439"/>
      <c r="Q2" s="439"/>
    </row>
    <row r="3" spans="1:17" ht="15.75" customHeight="1">
      <c r="A3" s="82" t="s">
        <v>96</v>
      </c>
      <c r="B3" s="17" t="str">
        <f>'110表12市價變動幅度評議表'!B2</f>
        <v>1030302-1030901</v>
      </c>
    </row>
    <row r="4" spans="1:17" ht="8.25" customHeight="1">
      <c r="C4" s="9"/>
    </row>
    <row r="5" spans="1:17" ht="16.5" customHeight="1">
      <c r="A5" s="1196" t="s">
        <v>533</v>
      </c>
      <c r="B5" s="1194" t="s">
        <v>91</v>
      </c>
      <c r="C5" s="1200" t="s">
        <v>19</v>
      </c>
    </row>
    <row r="6" spans="1:17">
      <c r="A6" s="1197"/>
      <c r="B6" s="1202"/>
      <c r="C6" s="1201"/>
    </row>
    <row r="7" spans="1:17" ht="15.75">
      <c r="A7" s="15" t="s">
        <v>14</v>
      </c>
      <c r="B7" s="15" t="str">
        <f>'110表12市價變動幅度評議表'!B6</f>
        <v>TEST01全市</v>
      </c>
      <c r="C7" s="412">
        <v>99.77</v>
      </c>
    </row>
    <row r="8" spans="1:17" ht="15.75">
      <c r="A8" s="15" t="s">
        <v>15</v>
      </c>
      <c r="B8" s="15" t="str">
        <f>'110表12市價變動幅度評議表'!B7</f>
        <v>△△鎮全鎮</v>
      </c>
      <c r="C8" s="221">
        <v>103.63</v>
      </c>
    </row>
    <row r="9" spans="1:17" ht="15.75">
      <c r="A9" s="15" t="s">
        <v>16</v>
      </c>
      <c r="B9" s="1191" t="str">
        <f>'110表12市價變動幅度評議表'!B8</f>
        <v>◎◎鎮、☆☆鎮及◇◇鎮共3鎮全部</v>
      </c>
      <c r="C9" s="1185">
        <v>103.13</v>
      </c>
    </row>
    <row r="10" spans="1:17" ht="15.75">
      <c r="A10" s="15" t="s">
        <v>17</v>
      </c>
      <c r="B10" s="1203"/>
      <c r="C10" s="1186"/>
    </row>
    <row r="11" spans="1:17" ht="15.75">
      <c r="A11" s="15" t="s">
        <v>18</v>
      </c>
      <c r="B11" s="1193"/>
      <c r="C11" s="1187"/>
    </row>
    <row r="12" spans="1:17" ht="31.5">
      <c r="A12" s="15" t="s">
        <v>92</v>
      </c>
      <c r="B12" s="68" t="str">
        <f>'110表12市價變動幅度評議表'!B11</f>
        <v>□□鄉內介於＊＊、※※、■■間之區域</v>
      </c>
      <c r="C12" s="221">
        <v>97.53</v>
      </c>
      <c r="D12" s="444"/>
    </row>
    <row r="13" spans="1:17" ht="31.5">
      <c r="A13" s="15" t="s">
        <v>93</v>
      </c>
      <c r="B13" s="68" t="str">
        <f>'110表12市價變動幅度評議表'!B12</f>
        <v>□□鄉內介於＊※、※＊、※■間之區域</v>
      </c>
      <c r="C13" s="221">
        <v>110.89</v>
      </c>
    </row>
    <row r="14" spans="1:17" ht="31.5">
      <c r="A14" s="15" t="s">
        <v>94</v>
      </c>
      <c r="B14" s="68" t="str">
        <f>'110表12市價變動幅度評議表'!B13</f>
        <v>□□鄉內介於＊＊、※＊※、■＊■間之區域</v>
      </c>
      <c r="C14" s="221">
        <v>90.71</v>
      </c>
    </row>
    <row r="15" spans="1:17">
      <c r="A15" s="21"/>
      <c r="B15" s="21"/>
      <c r="C15" s="20"/>
    </row>
    <row r="16" spans="1:17">
      <c r="A16" s="21"/>
      <c r="B16" s="21"/>
      <c r="C16" s="20"/>
    </row>
    <row r="17" spans="1:3">
      <c r="A17" s="22"/>
      <c r="B17" s="22"/>
      <c r="C17" s="20"/>
    </row>
    <row r="18" spans="1:3">
      <c r="A18" s="22"/>
      <c r="B18" s="22"/>
      <c r="C18" s="20"/>
    </row>
    <row r="19" spans="1:3">
      <c r="A19" s="22"/>
      <c r="B19" s="22"/>
      <c r="C19" s="20"/>
    </row>
    <row r="20" spans="1:3">
      <c r="A20" s="22"/>
      <c r="B20" s="22"/>
      <c r="C20" s="20"/>
    </row>
    <row r="21" spans="1:3">
      <c r="A21" s="22"/>
      <c r="B21" s="22"/>
      <c r="C21" s="20"/>
    </row>
    <row r="22" spans="1:3">
      <c r="A22" s="195"/>
      <c r="B22" s="195"/>
      <c r="C22" s="20"/>
    </row>
    <row r="23" spans="1:3">
      <c r="A23" s="195"/>
      <c r="B23" s="195"/>
      <c r="C23" s="20"/>
    </row>
    <row r="24" spans="1:3">
      <c r="A24" s="195"/>
      <c r="B24" s="195"/>
      <c r="C24" s="20"/>
    </row>
    <row r="25" spans="1:3">
      <c r="A25" s="195"/>
      <c r="B25" s="195"/>
      <c r="C25" s="20"/>
    </row>
    <row r="26" spans="1:3">
      <c r="A26" s="195"/>
      <c r="B26" s="195"/>
      <c r="C26" s="20"/>
    </row>
    <row r="27" spans="1:3">
      <c r="A27" s="195"/>
      <c r="B27" s="195"/>
      <c r="C27" s="20"/>
    </row>
    <row r="28" spans="1:3">
      <c r="A28" s="195"/>
      <c r="B28" s="195"/>
      <c r="C28" s="20"/>
    </row>
    <row r="29" spans="1:3">
      <c r="A29" s="195"/>
      <c r="B29" s="195"/>
      <c r="C29" s="20"/>
    </row>
    <row r="30" spans="1:3">
      <c r="A30" s="195"/>
      <c r="B30" s="195"/>
      <c r="C30" s="20"/>
    </row>
    <row r="31" spans="1:3">
      <c r="A31" s="195"/>
      <c r="B31" s="195"/>
      <c r="C31" s="20"/>
    </row>
    <row r="32" spans="1:3">
      <c r="A32" s="195"/>
      <c r="B32" s="195"/>
      <c r="C32" s="20"/>
    </row>
    <row r="33" spans="1:3">
      <c r="A33" s="195"/>
      <c r="B33" s="195"/>
      <c r="C33" s="20"/>
    </row>
    <row r="34" spans="1:3">
      <c r="A34" s="195"/>
      <c r="B34" s="195"/>
      <c r="C34" s="20"/>
    </row>
    <row r="35" spans="1:3">
      <c r="A35" s="195"/>
      <c r="B35" s="195"/>
      <c r="C35" s="20"/>
    </row>
    <row r="36" spans="1:3">
      <c r="A36" s="195"/>
      <c r="B36" s="195"/>
      <c r="C36" s="20"/>
    </row>
  </sheetData>
  <mergeCells count="6">
    <mergeCell ref="C9:C11"/>
    <mergeCell ref="A1:C1"/>
    <mergeCell ref="C5:C6"/>
    <mergeCell ref="A5:A6"/>
    <mergeCell ref="B5:B6"/>
    <mergeCell ref="B9:B11"/>
  </mergeCells>
  <phoneticPr fontId="3" type="noConversion"/>
  <printOptions horizontalCentered="1"/>
  <pageMargins left="0.23622047244094491" right="0.23622047244094491" top="0.55118110236220474" bottom="0.51181102362204722" header="0.31496062992125984" footer="0.31496062992125984"/>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CF5AF-7580-42F3-8200-D616FA06AB6F}">
  <sheetPr>
    <tabColor indexed="10"/>
    <pageSetUpPr fitToPage="1"/>
  </sheetPr>
  <dimension ref="A1:Q18"/>
  <sheetViews>
    <sheetView workbookViewId="0">
      <selection activeCell="O2" sqref="O2:Q2"/>
    </sheetView>
  </sheetViews>
  <sheetFormatPr defaultRowHeight="16.5"/>
  <cols>
    <col min="2" max="2" width="13.625" customWidth="1"/>
    <col min="3" max="3" width="8.625" customWidth="1"/>
    <col min="4" max="4" width="12.625" customWidth="1"/>
    <col min="5" max="5" width="8.625" customWidth="1"/>
    <col min="6" max="6" width="15.625" customWidth="1"/>
    <col min="7" max="7" width="45.625" customWidth="1"/>
  </cols>
  <sheetData>
    <row r="1" spans="1:17" ht="38.25" customHeight="1">
      <c r="A1" s="1207" t="s">
        <v>711</v>
      </c>
      <c r="B1" s="1208"/>
      <c r="C1" s="1208"/>
      <c r="D1" s="1208"/>
      <c r="E1" s="1208"/>
      <c r="F1" s="1208"/>
      <c r="G1" s="1208"/>
    </row>
    <row r="2" spans="1:17" ht="24.75" customHeight="1">
      <c r="A2" s="1209" t="s">
        <v>559</v>
      </c>
      <c r="B2" s="1210"/>
      <c r="C2" s="1210"/>
      <c r="D2" s="1210"/>
      <c r="E2" s="1210"/>
      <c r="F2" s="1210"/>
      <c r="G2" s="1210"/>
      <c r="O2" s="438"/>
      <c r="P2" s="438"/>
      <c r="Q2" s="438"/>
    </row>
    <row r="3" spans="1:17" ht="42">
      <c r="A3" s="326" t="s">
        <v>111</v>
      </c>
      <c r="B3" s="326">
        <v>1040301</v>
      </c>
      <c r="C3" s="326" t="s">
        <v>38</v>
      </c>
      <c r="D3" s="326" t="s">
        <v>528</v>
      </c>
      <c r="E3" s="326" t="s">
        <v>39</v>
      </c>
      <c r="F3" s="1211" t="s">
        <v>431</v>
      </c>
      <c r="G3" s="1211"/>
    </row>
    <row r="4" spans="1:17" ht="29.25" customHeight="1">
      <c r="A4" s="327"/>
      <c r="B4" s="1204" t="s">
        <v>687</v>
      </c>
      <c r="C4" s="1204"/>
      <c r="D4" s="1204"/>
      <c r="E4" s="1204"/>
      <c r="F4" s="1204"/>
      <c r="G4" s="1204"/>
    </row>
    <row r="5" spans="1:17" ht="46.5" customHeight="1">
      <c r="A5" s="327"/>
      <c r="B5" s="1211" t="s">
        <v>46</v>
      </c>
      <c r="C5" s="1211"/>
      <c r="D5" s="1211" t="s">
        <v>401</v>
      </c>
      <c r="E5" s="1211"/>
      <c r="F5" s="326" t="s">
        <v>560</v>
      </c>
      <c r="G5" s="326" t="s">
        <v>47</v>
      </c>
    </row>
    <row r="6" spans="1:17" ht="27" customHeight="1">
      <c r="A6" s="327" t="s">
        <v>40</v>
      </c>
      <c r="B6" s="1204" t="s">
        <v>529</v>
      </c>
      <c r="C6" s="1204"/>
      <c r="D6" s="1205">
        <v>8222</v>
      </c>
      <c r="E6" s="1205"/>
      <c r="F6" s="323">
        <v>4000</v>
      </c>
      <c r="G6" s="324"/>
    </row>
    <row r="7" spans="1:17" ht="27" customHeight="1">
      <c r="A7" s="327" t="s">
        <v>41</v>
      </c>
      <c r="B7" s="1204" t="s">
        <v>530</v>
      </c>
      <c r="C7" s="1204"/>
      <c r="D7" s="1205">
        <v>8313</v>
      </c>
      <c r="E7" s="1205"/>
      <c r="F7" s="323">
        <v>3500</v>
      </c>
      <c r="G7" s="324"/>
    </row>
    <row r="8" spans="1:17" ht="27" customHeight="1">
      <c r="A8" s="327" t="s">
        <v>42</v>
      </c>
      <c r="B8" s="1204" t="s">
        <v>531</v>
      </c>
      <c r="C8" s="1204"/>
      <c r="D8" s="1205">
        <v>4156</v>
      </c>
      <c r="E8" s="1205"/>
      <c r="F8" s="323" t="s">
        <v>8</v>
      </c>
      <c r="G8" s="324" t="s">
        <v>432</v>
      </c>
    </row>
    <row r="9" spans="1:17" ht="27" customHeight="1">
      <c r="A9" s="327" t="s">
        <v>43</v>
      </c>
      <c r="B9" s="1204" t="s">
        <v>526</v>
      </c>
      <c r="C9" s="1204"/>
      <c r="D9" s="1205">
        <v>4125</v>
      </c>
      <c r="E9" s="1205"/>
      <c r="F9" s="323" t="s">
        <v>8</v>
      </c>
      <c r="G9" s="324" t="s">
        <v>432</v>
      </c>
    </row>
    <row r="10" spans="1:17" ht="27" customHeight="1">
      <c r="A10" s="327" t="s">
        <v>44</v>
      </c>
      <c r="B10" s="1204"/>
      <c r="C10" s="1204"/>
      <c r="D10" s="1205"/>
      <c r="E10" s="1205"/>
      <c r="F10" s="323"/>
      <c r="G10" s="324"/>
    </row>
    <row r="11" spans="1:17" ht="27" customHeight="1">
      <c r="A11" s="327" t="s">
        <v>45</v>
      </c>
      <c r="B11" s="1204"/>
      <c r="C11" s="1204"/>
      <c r="D11" s="1205"/>
      <c r="E11" s="1205"/>
      <c r="F11" s="323"/>
      <c r="G11" s="324"/>
    </row>
    <row r="12" spans="1:17" ht="27" customHeight="1">
      <c r="A12" s="375" t="s">
        <v>665</v>
      </c>
      <c r="B12" s="1204"/>
      <c r="C12" s="1204"/>
      <c r="D12" s="1205"/>
      <c r="E12" s="1205"/>
      <c r="F12" s="323"/>
      <c r="G12" s="324"/>
    </row>
    <row r="13" spans="1:17" ht="27" customHeight="1">
      <c r="A13" s="375" t="s">
        <v>666</v>
      </c>
      <c r="B13" s="1204"/>
      <c r="C13" s="1204"/>
      <c r="D13" s="1205"/>
      <c r="E13" s="1205"/>
      <c r="F13" s="323"/>
      <c r="G13" s="324"/>
    </row>
    <row r="14" spans="1:17" ht="27" customHeight="1">
      <c r="A14" s="328"/>
      <c r="B14" s="1204"/>
      <c r="C14" s="1204"/>
      <c r="D14" s="1205"/>
      <c r="E14" s="1205"/>
      <c r="F14" s="323"/>
      <c r="G14" s="324"/>
    </row>
    <row r="15" spans="1:17" ht="27" customHeight="1">
      <c r="A15" s="328"/>
      <c r="B15" s="1204"/>
      <c r="C15" s="1204"/>
      <c r="D15" s="1205"/>
      <c r="E15" s="1205"/>
      <c r="F15" s="323"/>
      <c r="G15" s="324"/>
    </row>
    <row r="16" spans="1:17" ht="27" customHeight="1">
      <c r="A16" s="325"/>
      <c r="B16" s="1204" t="s">
        <v>48</v>
      </c>
      <c r="C16" s="1204"/>
      <c r="D16" s="1205">
        <f>SUM(D6:D7)</f>
        <v>16535</v>
      </c>
      <c r="E16" s="1206"/>
      <c r="F16" s="323">
        <f>ROUNDUP((D6*F6+D7*F7)/D16,-2)</f>
        <v>3800</v>
      </c>
      <c r="G16" s="324"/>
    </row>
    <row r="17" spans="1:7" ht="29.25" customHeight="1">
      <c r="A17" s="27" t="s">
        <v>667</v>
      </c>
    </row>
    <row r="18" spans="1:7" ht="29.25" customHeight="1">
      <c r="G18" s="27" t="s">
        <v>668</v>
      </c>
    </row>
  </sheetData>
  <mergeCells count="28">
    <mergeCell ref="A1:G1"/>
    <mergeCell ref="A2:G2"/>
    <mergeCell ref="F3:G3"/>
    <mergeCell ref="B8:C8"/>
    <mergeCell ref="B4:G4"/>
    <mergeCell ref="B5:C5"/>
    <mergeCell ref="D5:E5"/>
    <mergeCell ref="B6:C6"/>
    <mergeCell ref="D6:E6"/>
    <mergeCell ref="D7:E7"/>
    <mergeCell ref="B9:C9"/>
    <mergeCell ref="D12:E12"/>
    <mergeCell ref="B10:C10"/>
    <mergeCell ref="B7:C7"/>
    <mergeCell ref="B12:C12"/>
    <mergeCell ref="D9:E9"/>
    <mergeCell ref="D8:E8"/>
    <mergeCell ref="B16:C16"/>
    <mergeCell ref="D16:E16"/>
    <mergeCell ref="D10:E10"/>
    <mergeCell ref="B11:C11"/>
    <mergeCell ref="D11:E11"/>
    <mergeCell ref="B15:C15"/>
    <mergeCell ref="D15:E15"/>
    <mergeCell ref="B13:C13"/>
    <mergeCell ref="B14:C14"/>
    <mergeCell ref="D14:E14"/>
    <mergeCell ref="D13:E13"/>
  </mergeCells>
  <phoneticPr fontId="3" type="noConversion"/>
  <printOptions horizontalCentered="1"/>
  <pageMargins left="0.23622047244094491" right="0.23622047244094491" top="0.55118110236220474" bottom="0.51181102362204722" header="0.31496062992125984" footer="0.31496062992125984"/>
  <pageSetup paperSize="9" orientation="landscape" r:id="rId1"/>
  <headerFooter alignWithMargins="0"/>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8D6BC-5EAB-40A1-98F4-202635D104EE}">
  <sheetPr>
    <tabColor theme="6" tint="0.59999389629810485"/>
    <pageSetUpPr fitToPage="1"/>
  </sheetPr>
  <dimension ref="A1:Q12"/>
  <sheetViews>
    <sheetView zoomScale="82" zoomScaleNormal="82" workbookViewId="0">
      <selection activeCell="O2" sqref="O2:Q2"/>
    </sheetView>
  </sheetViews>
  <sheetFormatPr defaultRowHeight="16.5"/>
  <cols>
    <col min="2" max="2" width="13.625" customWidth="1"/>
    <col min="3" max="3" width="8.625" customWidth="1"/>
    <col min="4" max="4" width="9.125" customWidth="1"/>
    <col min="5" max="5" width="5.375" customWidth="1"/>
    <col min="6" max="7" width="14" customWidth="1"/>
    <col min="8" max="8" width="45.625" customWidth="1"/>
  </cols>
  <sheetData>
    <row r="1" spans="1:17" ht="49.5" customHeight="1">
      <c r="A1" s="1207" t="s">
        <v>710</v>
      </c>
      <c r="B1" s="1208"/>
      <c r="C1" s="1208"/>
      <c r="D1" s="1208"/>
      <c r="E1" s="1208"/>
      <c r="F1" s="1208"/>
      <c r="G1" s="1208"/>
      <c r="H1" s="1208"/>
    </row>
    <row r="2" spans="1:17" ht="38.25" customHeight="1">
      <c r="A2" s="1209" t="s">
        <v>559</v>
      </c>
      <c r="B2" s="1210"/>
      <c r="C2" s="1210"/>
      <c r="D2" s="1210"/>
      <c r="E2" s="1210"/>
      <c r="F2" s="1210"/>
      <c r="G2" s="1210"/>
      <c r="H2" s="1210"/>
      <c r="O2" s="438"/>
      <c r="P2" s="438"/>
      <c r="Q2" s="438"/>
    </row>
    <row r="3" spans="1:17" ht="42" customHeight="1">
      <c r="A3" s="326" t="s">
        <v>111</v>
      </c>
      <c r="B3" s="326">
        <v>1040301</v>
      </c>
      <c r="C3" s="326" t="s">
        <v>38</v>
      </c>
      <c r="D3" s="1212" t="s">
        <v>527</v>
      </c>
      <c r="E3" s="1213"/>
      <c r="F3" s="326" t="s">
        <v>558</v>
      </c>
      <c r="G3" s="1214" t="s">
        <v>557</v>
      </c>
      <c r="H3" s="1213"/>
    </row>
    <row r="4" spans="1:17" ht="27.75" customHeight="1">
      <c r="A4" s="1215" t="s">
        <v>553</v>
      </c>
      <c r="B4" s="1211" t="s">
        <v>551</v>
      </c>
      <c r="C4" s="1211"/>
      <c r="D4" s="1211"/>
      <c r="E4" s="1211"/>
      <c r="F4" s="1211"/>
      <c r="G4" s="1211"/>
      <c r="H4" s="1211"/>
    </row>
    <row r="5" spans="1:17" ht="74.25" customHeight="1">
      <c r="A5" s="1216"/>
      <c r="B5" s="1211" t="s">
        <v>46</v>
      </c>
      <c r="C5" s="1211"/>
      <c r="D5" s="1211" t="s">
        <v>550</v>
      </c>
      <c r="E5" s="1211"/>
      <c r="F5" s="326" t="s">
        <v>389</v>
      </c>
      <c r="G5" s="326" t="s">
        <v>686</v>
      </c>
      <c r="H5" s="326" t="s">
        <v>47</v>
      </c>
    </row>
    <row r="6" spans="1:17" ht="27.75" customHeight="1">
      <c r="A6" s="1216"/>
      <c r="B6" s="1211" t="s">
        <v>747</v>
      </c>
      <c r="C6" s="1211"/>
      <c r="D6" s="1220">
        <v>15000</v>
      </c>
      <c r="E6" s="1221"/>
      <c r="F6" s="331">
        <v>4.1700000000000001E-2</v>
      </c>
      <c r="G6" s="330">
        <f>ROUND(D6*(1+F6),0)</f>
        <v>15626</v>
      </c>
      <c r="H6" s="332"/>
    </row>
    <row r="7" spans="1:17" ht="27.75" customHeight="1">
      <c r="A7" s="1216"/>
      <c r="B7" s="1211" t="s">
        <v>748</v>
      </c>
      <c r="C7" s="1211"/>
      <c r="D7" s="1220">
        <v>19000</v>
      </c>
      <c r="E7" s="1221"/>
      <c r="F7" s="331">
        <v>-6.2899999999999998E-2</v>
      </c>
      <c r="G7" s="330">
        <f>ROUND(D7*(1+F7),0)</f>
        <v>17805</v>
      </c>
      <c r="H7" s="332"/>
    </row>
    <row r="8" spans="1:17" ht="27.75" customHeight="1">
      <c r="A8" s="1216"/>
      <c r="B8" s="1211" t="s">
        <v>552</v>
      </c>
      <c r="C8" s="1211"/>
      <c r="D8" s="1220">
        <v>14000</v>
      </c>
      <c r="E8" s="1221"/>
      <c r="F8" s="331">
        <v>5.2299999999999999E-2</v>
      </c>
      <c r="G8" s="330">
        <f>ROUND(D8*(1+F8),0)</f>
        <v>14732</v>
      </c>
      <c r="H8" s="332"/>
    </row>
    <row r="9" spans="1:17" ht="27.75" customHeight="1">
      <c r="A9" s="1217"/>
      <c r="B9" s="1212" t="s">
        <v>564</v>
      </c>
      <c r="C9" s="1214"/>
      <c r="D9" s="1218"/>
      <c r="E9" s="1218"/>
      <c r="F9" s="1219"/>
      <c r="G9" s="330">
        <f>IF(AVERAGE(G6:G8)&gt;100000,ROUNDUP(AVERAGE(G6:G8),-3),IF(AVERAGE(G6:G8)&gt;1000,ROUNDUP(AVERAGE(G6:G8),-2),IF(AVERAGE(G6:G8)&gt;100,ROUNDUP(AVERAGE(G6:G8),-1),ROUNDUP(AVERAGE(G6:G8),0))))</f>
        <v>16100</v>
      </c>
      <c r="H9" s="333" t="s">
        <v>556</v>
      </c>
    </row>
    <row r="10" spans="1:17" ht="36" customHeight="1">
      <c r="A10" s="27" t="s">
        <v>669</v>
      </c>
      <c r="B10" s="376"/>
      <c r="C10" s="376"/>
      <c r="D10" s="376"/>
      <c r="E10" s="376"/>
      <c r="F10" s="376"/>
      <c r="G10" s="376"/>
      <c r="H10" s="376"/>
    </row>
    <row r="11" spans="1:17" ht="36" customHeight="1">
      <c r="A11" s="376"/>
      <c r="B11" s="376"/>
      <c r="C11" s="376"/>
      <c r="D11" s="376"/>
      <c r="E11" s="376"/>
      <c r="F11" s="376"/>
      <c r="G11" s="376"/>
      <c r="H11" s="27" t="s">
        <v>670</v>
      </c>
    </row>
    <row r="12" spans="1:17">
      <c r="G12" s="329"/>
    </row>
  </sheetData>
  <mergeCells count="15">
    <mergeCell ref="A1:H1"/>
    <mergeCell ref="B4:H4"/>
    <mergeCell ref="B5:C5"/>
    <mergeCell ref="D5:E5"/>
    <mergeCell ref="D3:E3"/>
    <mergeCell ref="G3:H3"/>
    <mergeCell ref="A2:H2"/>
    <mergeCell ref="A4:A9"/>
    <mergeCell ref="B9:F9"/>
    <mergeCell ref="B7:C7"/>
    <mergeCell ref="B8:C8"/>
    <mergeCell ref="D8:E8"/>
    <mergeCell ref="D7:E7"/>
    <mergeCell ref="B6:C6"/>
    <mergeCell ref="D6:E6"/>
  </mergeCells>
  <phoneticPr fontId="3" type="noConversion"/>
  <printOptions horizontalCentered="1"/>
  <pageMargins left="0.23622047244094491" right="0.23622047244094491" top="0.82" bottom="0.51181102362204722" header="0.31496062992125984" footer="0.31496062992125984"/>
  <pageSetup paperSize="9" orientation="landscape" r:id="rId1"/>
  <headerFooter alignWithMargins="0"/>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03565-48F2-4BFE-A518-82AF4E2706D7}">
  <sheetPr>
    <tabColor indexed="42"/>
    <pageSetUpPr fitToPage="1"/>
  </sheetPr>
  <dimension ref="A1:R11"/>
  <sheetViews>
    <sheetView zoomScale="73" zoomScaleNormal="73" workbookViewId="0">
      <selection activeCell="O2" sqref="O2:Q2"/>
    </sheetView>
  </sheetViews>
  <sheetFormatPr defaultRowHeight="16.5"/>
  <cols>
    <col min="1" max="3" width="7.875" customWidth="1"/>
    <col min="6" max="6" width="10.625" customWidth="1"/>
    <col min="7" max="7" width="8.375" customWidth="1"/>
    <col min="8" max="8" width="10.625" customWidth="1"/>
    <col min="9" max="9" width="8.375" customWidth="1"/>
    <col min="10" max="10" width="10.625" customWidth="1"/>
    <col min="11" max="11" width="54.875" customWidth="1"/>
  </cols>
  <sheetData>
    <row r="1" spans="1:18" ht="21">
      <c r="A1" s="391" t="s">
        <v>536</v>
      </c>
      <c r="B1" s="434"/>
      <c r="C1" s="434"/>
      <c r="D1" s="434"/>
      <c r="E1" s="434"/>
      <c r="F1" s="434"/>
      <c r="G1" s="434"/>
      <c r="H1" s="434"/>
    </row>
    <row r="2" spans="1:18" ht="21.75" customHeight="1">
      <c r="A2" s="393" t="s">
        <v>3</v>
      </c>
      <c r="B2" s="1223" t="s">
        <v>562</v>
      </c>
      <c r="C2" s="1223"/>
      <c r="D2" s="1223"/>
      <c r="E2" s="1223"/>
      <c r="F2" s="1223"/>
      <c r="G2" s="775" t="s">
        <v>110</v>
      </c>
      <c r="H2" s="1225"/>
      <c r="I2" s="1223">
        <v>1040301</v>
      </c>
      <c r="J2" s="1223"/>
      <c r="K2" s="1223"/>
      <c r="P2" s="438"/>
      <c r="Q2" s="438"/>
      <c r="R2" s="438"/>
    </row>
    <row r="3" spans="1:18" ht="30.75" customHeight="1">
      <c r="A3" s="1222" t="s">
        <v>537</v>
      </c>
      <c r="B3" s="1222" t="s">
        <v>538</v>
      </c>
      <c r="C3" s="1222"/>
      <c r="D3" s="1222"/>
      <c r="E3" s="1222"/>
      <c r="F3" s="1222" t="s">
        <v>577</v>
      </c>
      <c r="G3" s="1222"/>
      <c r="H3" s="1222"/>
      <c r="I3" s="1222"/>
      <c r="J3" s="1224" t="s">
        <v>578</v>
      </c>
      <c r="K3" s="1224" t="s">
        <v>535</v>
      </c>
    </row>
    <row r="4" spans="1:18" ht="33" customHeight="1">
      <c r="A4" s="1222"/>
      <c r="B4" s="380" t="s">
        <v>582</v>
      </c>
      <c r="C4" s="380" t="s">
        <v>732</v>
      </c>
      <c r="D4" s="380" t="s">
        <v>733</v>
      </c>
      <c r="E4" s="335" t="s">
        <v>13</v>
      </c>
      <c r="F4" s="335" t="s">
        <v>539</v>
      </c>
      <c r="G4" s="335" t="s">
        <v>540</v>
      </c>
      <c r="H4" s="335" t="s">
        <v>541</v>
      </c>
      <c r="I4" s="335" t="s">
        <v>540</v>
      </c>
      <c r="J4" s="1224"/>
      <c r="K4" s="1224"/>
    </row>
    <row r="5" spans="1:18" ht="85.5" customHeight="1">
      <c r="A5" s="344" t="s">
        <v>529</v>
      </c>
      <c r="B5" s="345" t="s">
        <v>721</v>
      </c>
      <c r="C5" s="345" t="s">
        <v>735</v>
      </c>
      <c r="D5" s="345" t="s">
        <v>734</v>
      </c>
      <c r="E5" s="345" t="s">
        <v>575</v>
      </c>
      <c r="F5" s="342">
        <v>4321</v>
      </c>
      <c r="G5" s="340">
        <v>1</v>
      </c>
      <c r="H5" s="343" t="s">
        <v>53</v>
      </c>
      <c r="I5" s="340">
        <v>0</v>
      </c>
      <c r="J5" s="341">
        <f>IF(H5="-",IF((F5*G5)&lt;100,ROUNDUP(F5*G5,0),IF(AND((F5*G5)&gt;=100,(F5*G5)&lt;1000),ROUNDUP(F5*G5,-1),IF(AND((F5*G5)&gt;=1000,(F5*G5)&lt;100000),ROUNDUP(F5*G5,-2),ROUNDUP(F5*G5,-3)))),IF((F5*G5+H5*I5)&lt;100,ROUNDUP(F5*G5+H5*I5,0),IF(AND((F5*G5+H5*I5)&gt;=100,(F5*G5+H5*I5)&lt;1000),ROUNDUP(F5*G5+H5*I5,-1),IF(AND((F5*G5+H5*I5)&gt;=1000,(F5*G5+H5*I5)&lt;100000),ROUNDUP(F5*G5+H5*I5,-2),ROUNDUP(F5*G5+H5*I5,-3)))))</f>
        <v>4400</v>
      </c>
      <c r="K5" s="449" t="s">
        <v>729</v>
      </c>
    </row>
    <row r="6" spans="1:18" ht="85.5" customHeight="1">
      <c r="A6" s="344" t="s">
        <v>530</v>
      </c>
      <c r="B6" s="345" t="s">
        <v>723</v>
      </c>
      <c r="C6" s="345" t="s">
        <v>735</v>
      </c>
      <c r="D6" s="345" t="s">
        <v>574</v>
      </c>
      <c r="E6" s="345" t="s">
        <v>576</v>
      </c>
      <c r="F6" s="342">
        <v>3513</v>
      </c>
      <c r="G6" s="340">
        <v>0.7</v>
      </c>
      <c r="H6" s="343">
        <v>3218</v>
      </c>
      <c r="I6" s="340">
        <v>0.3</v>
      </c>
      <c r="J6" s="341">
        <f>IF(H6="-",IF((F6*G6)&lt;100,ROUNDUP(F6*G6,0),IF(AND((F6*G6)&gt;=100,(F6*G6)&lt;1000),ROUNDUP(F6*G6,-1),IF(AND((F6*G6)&gt;=1000,(F6*G6)&lt;100000),ROUNDUP(F6*G6,-2),ROUNDUP(F6*G6,-3)))),IF((F6*G6+H6*I6)&lt;100,ROUNDUP(F6*G6+H6*I6,0),IF(AND((F6*G6+H6*I6)&gt;=100,(F6*G6+H6*I6)&lt;1000),ROUNDUP(F6*G6+H6*I6,-1),IF(AND((F6*G6+H6*I6)&gt;=1000,(F6*G6+H6*I6)&lt;100000),ROUNDUP(F6*G6+H6*I6,-2),ROUNDUP(F6*G6+H6*I6,-3)))))</f>
        <v>3500</v>
      </c>
      <c r="K6" s="449" t="s">
        <v>730</v>
      </c>
    </row>
    <row r="7" spans="1:18" ht="85.5" customHeight="1">
      <c r="A7" s="344" t="s">
        <v>525</v>
      </c>
      <c r="B7" s="345" t="s">
        <v>724</v>
      </c>
      <c r="C7" s="345" t="s">
        <v>735</v>
      </c>
      <c r="D7" s="345" t="s">
        <v>291</v>
      </c>
      <c r="E7" s="345" t="s">
        <v>636</v>
      </c>
      <c r="F7" s="342" t="e">
        <f>#REF!</f>
        <v>#REF!</v>
      </c>
      <c r="G7" s="340">
        <v>1</v>
      </c>
      <c r="H7" s="343" t="s">
        <v>53</v>
      </c>
      <c r="I7" s="340">
        <v>0</v>
      </c>
      <c r="J7" s="341" t="e">
        <f>IF(H7="-",IF((F7*G7)&lt;100,ROUNDUP(F7*G7,0),IF(AND((F7*G7)&gt;=100,(F7*G7)&lt;1000),ROUNDUP(F7*G7,-1),IF(AND((F7*G7)&gt;=1000,(F7*G7)&lt;100000),ROUNDUP(F7*G7,-2),ROUNDUP(F7*G7,-3)))),IF((F7*G7+H7*I7)&lt;100,ROUNDUP(F7*G7+H7*I7,0),IF(AND((F7*G7+H7*I7)&gt;=100,(F7*G7+H7*I7)&lt;1000),ROUNDUP(F7*G7+H7*I7,-1),IF(AND((F7*G7+H7*I7)&gt;=1000,(F7*G7+H7*I7)&lt;100000),ROUNDUP(F7*G7+H7*I7,-2),ROUNDUP(F7*G7+H7*I7,-3)))))</f>
        <v>#REF!</v>
      </c>
      <c r="K7" s="450" t="s">
        <v>731</v>
      </c>
    </row>
    <row r="8" spans="1:18" ht="85.5" customHeight="1">
      <c r="A8" s="344"/>
      <c r="B8" s="345"/>
      <c r="C8" s="345"/>
      <c r="D8" s="345"/>
      <c r="E8" s="345"/>
      <c r="F8" s="342"/>
      <c r="G8" s="340"/>
      <c r="H8" s="343"/>
      <c r="I8" s="340"/>
      <c r="J8" s="341">
        <f>IF(H8="-",IF((F8*G8)&lt;100,ROUNDUP(F8*G8,0),IF(AND((F8*G8)&gt;=100,(F8*G8)&lt;1000),ROUNDUP(F8*G8,-1),IF(AND((F8*G8)&gt;=1000,(F8*G8)&lt;100000),ROUNDUP(F8*G8,-2),ROUNDUP(F8*G8,-3)))),IF((F8*G8+H8*I8)&lt;100,ROUNDUP(F8*G8+H8*I8,0),IF(AND((F8*G8+H8*I8)&gt;=100,(F8*G8+H8*I8)&lt;1000),ROUNDUP(F8*G8+H8*I8,-1),IF(AND((F8*G8+H8*I8)&gt;=1000,(F8*G8+H8*I8)&lt;100000),ROUNDUP(F8*G8+H8*I8,-2),ROUNDUP(F8*G8+H8*I8,-3)))))</f>
        <v>0</v>
      </c>
      <c r="K8" s="451"/>
    </row>
    <row r="9" spans="1:18" ht="85.5" customHeight="1">
      <c r="A9" s="344"/>
      <c r="B9" s="428"/>
      <c r="C9" s="428"/>
      <c r="D9" s="428"/>
      <c r="E9" s="428"/>
      <c r="F9" s="429"/>
      <c r="G9" s="430"/>
      <c r="H9" s="343"/>
      <c r="I9" s="340"/>
      <c r="J9" s="341">
        <f>IF(H9="-",IF((F9*G9)&lt;100,ROUNDUP(F9*G9,0),IF(AND((F9*G9)&gt;=100,(F9*G9)&lt;1000),ROUNDUP(F9*G9,-1),IF(AND((F9*G9)&gt;=1000,(F9*G9)&lt;100000),ROUNDUP(F9*G9,-2),ROUNDUP(F9*G9,-3)))),IF((F9*G9+H9*I9)&lt;100,ROUNDUP(F9*G9+H9*I9,0),IF(AND((F9*G9+H9*I9)&gt;=100,(F9*G9+H9*I9)&lt;1000),ROUNDUP(F9*G9+H9*I9,-1),IF(AND((F9*G9+H9*I9)&gt;=1000,(F9*G9+H9*I9)&lt;100000),ROUNDUP(F9*G9+H9*I9,-2),ROUNDUP(F9*G9+H9*I9,-3)))))</f>
        <v>0</v>
      </c>
      <c r="K9" s="451"/>
    </row>
    <row r="10" spans="1:18" ht="28.5" customHeight="1">
      <c r="A10" s="27" t="s">
        <v>736</v>
      </c>
    </row>
    <row r="11" spans="1:18" ht="22.5" customHeight="1">
      <c r="J11" s="27" t="s">
        <v>579</v>
      </c>
    </row>
  </sheetData>
  <mergeCells count="8">
    <mergeCell ref="A3:A4"/>
    <mergeCell ref="B2:F2"/>
    <mergeCell ref="I2:K2"/>
    <mergeCell ref="F3:I3"/>
    <mergeCell ref="B3:E3"/>
    <mergeCell ref="J3:J4"/>
    <mergeCell ref="K3:K4"/>
    <mergeCell ref="G2:H2"/>
  </mergeCells>
  <phoneticPr fontId="3" type="noConversion"/>
  <printOptions horizontalCentered="1"/>
  <pageMargins left="0.23622047244094491" right="0.23622047244094491" top="0.38" bottom="0.36" header="0.31496062992125984" footer="0.31496062992125984"/>
  <pageSetup paperSize="9" scale="97"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24</vt:i4>
      </vt:variant>
      <vt:variant>
        <vt:lpstr>具名範圍</vt:lpstr>
      </vt:variant>
      <vt:variant>
        <vt:i4>24</vt:i4>
      </vt:variant>
    </vt:vector>
  </HeadingPairs>
  <TitlesOfParts>
    <vt:vector size="48" baseType="lpstr">
      <vt:lpstr>85表7個別因素清冊格式</vt:lpstr>
      <vt:lpstr>86個別因素清冊附表參考格式1</vt:lpstr>
      <vt:lpstr>88表1-1買賣實例1-土地</vt:lpstr>
      <vt:lpstr>89表1-1買賣實例1-土地 (1)</vt:lpstr>
      <vt:lpstr>90表1-1買賣實例1-土地 (2)</vt:lpstr>
      <vt:lpstr>91表1-1買賣實例1-土地 (3)</vt:lpstr>
      <vt:lpstr>92表1-2買賣實例2-建物</vt:lpstr>
      <vt:lpstr>93表1-3買賣實例3-建物</vt:lpstr>
      <vt:lpstr>94表2收益法 </vt:lpstr>
      <vt:lpstr>95表2收益附-成本法</vt:lpstr>
      <vt:lpstr>表5-1區域因素明細表(住)</vt:lpstr>
      <vt:lpstr>102表6宗地市價估計表格式</vt:lpstr>
      <vt:lpstr>103表9宗地市價評議表</vt:lpstr>
      <vt:lpstr>104表10宗地市價清冊</vt:lpstr>
      <vt:lpstr>105表11-1計算總表</vt:lpstr>
      <vt:lpstr>106表11-2計算表 </vt:lpstr>
      <vt:lpstr>107表11-2計算表(2)</vt:lpstr>
      <vt:lpstr>108TEST01H1計算表</vt:lpstr>
      <vt:lpstr>109TEST01H2計算表</vt:lpstr>
      <vt:lpstr>110表12市價變動幅度評議表</vt:lpstr>
      <vt:lpstr>111表13市價變動幅度表</vt:lpstr>
      <vt:lpstr>112表8-1公設平均(一般)</vt:lpstr>
      <vt:lpstr>113表8-2公設平均 (零建平均)</vt:lpstr>
      <vt:lpstr>114表14比準地地價估計表</vt:lpstr>
      <vt:lpstr>'102表6宗地市價估計表格式'!Print_Area</vt:lpstr>
      <vt:lpstr>'103表9宗地市價評議表'!Print_Area</vt:lpstr>
      <vt:lpstr>'104表10宗地市價清冊'!Print_Area</vt:lpstr>
      <vt:lpstr>'105表11-1計算總表'!Print_Area</vt:lpstr>
      <vt:lpstr>'106表11-2計算表 '!Print_Area</vt:lpstr>
      <vt:lpstr>'107表11-2計算表(2)'!Print_Area</vt:lpstr>
      <vt:lpstr>'108TEST01H1計算表'!Print_Area</vt:lpstr>
      <vt:lpstr>'109TEST01H2計算表'!Print_Area</vt:lpstr>
      <vt:lpstr>'110表12市價變動幅度評議表'!Print_Area</vt:lpstr>
      <vt:lpstr>'111表13市價變動幅度表'!Print_Area</vt:lpstr>
      <vt:lpstr>'112表8-1公設平均(一般)'!Print_Area</vt:lpstr>
      <vt:lpstr>'113表8-2公設平均 (零建平均)'!Print_Area</vt:lpstr>
      <vt:lpstr>'114表14比準地地價估計表'!Print_Area</vt:lpstr>
      <vt:lpstr>'85表7個別因素清冊格式'!Print_Area</vt:lpstr>
      <vt:lpstr>'86個別因素清冊附表參考格式1'!Print_Area</vt:lpstr>
      <vt:lpstr>'88表1-1買賣實例1-土地'!Print_Area</vt:lpstr>
      <vt:lpstr>'89表1-1買賣實例1-土地 (1)'!Print_Area</vt:lpstr>
      <vt:lpstr>'90表1-1買賣實例1-土地 (2)'!Print_Area</vt:lpstr>
      <vt:lpstr>'91表1-1買賣實例1-土地 (3)'!Print_Area</vt:lpstr>
      <vt:lpstr>'92表1-2買賣實例2-建物'!Print_Area</vt:lpstr>
      <vt:lpstr>'93表1-3買賣實例3-建物'!Print_Area</vt:lpstr>
      <vt:lpstr>'94表2收益法 '!Print_Area</vt:lpstr>
      <vt:lpstr>'95表2收益附-成本法'!Print_Area</vt:lpstr>
      <vt:lpstr>'表5-1區域因素明細表(住)'!Print_Area</vt:lpstr>
    </vt:vector>
  </TitlesOfParts>
  <Company>moi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moi1396</dc:creator>
  <cp:lastModifiedBy>蘇信武</cp:lastModifiedBy>
  <cp:lastPrinted>2026-05-28T06:32:20Z</cp:lastPrinted>
  <dcterms:created xsi:type="dcterms:W3CDTF">2012-02-13T07:47:56Z</dcterms:created>
  <dcterms:modified xsi:type="dcterms:W3CDTF">2026-09-09T02:15:33Z</dcterms:modified>
</cp:coreProperties>
</file>