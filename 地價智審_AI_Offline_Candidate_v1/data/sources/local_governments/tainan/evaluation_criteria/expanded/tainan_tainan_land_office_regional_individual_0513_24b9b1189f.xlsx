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val\Desktop\1040528北區商業用地評價基準明細表(徵收補償) - 複製\北區普通商業用地\"/>
    </mc:Choice>
  </mc:AlternateContent>
  <bookViews>
    <workbookView xWindow="0" yWindow="0" windowWidth="15360" windowHeight="8676"/>
  </bookViews>
  <sheets>
    <sheet name="商業個別" sheetId="5" r:id="rId1"/>
  </sheets>
  <definedNames>
    <definedName name="_Hlk320279254" localSheetId="0">商業個別!$C$13</definedName>
    <definedName name="OLE_LINK3" localSheetId="0">商業個別!#REF!</definedName>
    <definedName name="OLE_LINK4" localSheetId="0">商業個別!$I$32</definedName>
    <definedName name="OLE_LINK5" localSheetId="0">商業個別!$I$39</definedName>
    <definedName name="_xlnm.Print_Titles" localSheetId="0">商業個別!$1:$1</definedName>
  </definedNames>
  <calcPr calcId="152511"/>
</workbook>
</file>

<file path=xl/calcChain.xml><?xml version="1.0" encoding="utf-8"?>
<calcChain xmlns="http://schemas.openxmlformats.org/spreadsheetml/2006/main">
  <c r="H52" i="5" l="1"/>
  <c r="D49" i="5"/>
  <c r="D50" i="5" s="1"/>
  <c r="D51" i="5" s="1"/>
  <c r="D52" i="5" s="1"/>
  <c r="E48" i="5"/>
  <c r="F48" i="5"/>
  <c r="H143" i="5"/>
  <c r="G142" i="5"/>
  <c r="H142" i="5" s="1"/>
  <c r="F141" i="5"/>
  <c r="F142" i="5" s="1"/>
  <c r="F143" i="5" s="1"/>
  <c r="E141" i="5"/>
  <c r="E142" i="5"/>
  <c r="E143" i="5" s="1"/>
  <c r="E140" i="5"/>
  <c r="D140" i="5"/>
  <c r="D141" i="5"/>
  <c r="D142" i="5" s="1"/>
  <c r="D143" i="5" s="1"/>
  <c r="E139" i="5"/>
  <c r="F139" i="5"/>
  <c r="G139" i="5" s="1"/>
  <c r="H136" i="5"/>
  <c r="G135" i="5"/>
  <c r="G136" i="5" s="1"/>
  <c r="E135" i="5"/>
  <c r="E136" i="5" s="1"/>
  <c r="F134" i="5"/>
  <c r="F135" i="5"/>
  <c r="F136" i="5"/>
  <c r="E134" i="5"/>
  <c r="E133" i="5"/>
  <c r="D133" i="5"/>
  <c r="D134" i="5"/>
  <c r="D135" i="5" s="1"/>
  <c r="D136" i="5" s="1"/>
  <c r="E132" i="5"/>
  <c r="F132" i="5"/>
  <c r="F133" i="5" s="1"/>
  <c r="H129" i="5"/>
  <c r="G128" i="5"/>
  <c r="G129" i="5" s="1"/>
  <c r="E128" i="5"/>
  <c r="E129" i="5" s="1"/>
  <c r="F127" i="5"/>
  <c r="F128" i="5"/>
  <c r="F129" i="5"/>
  <c r="E127" i="5"/>
  <c r="E126" i="5"/>
  <c r="D126" i="5"/>
  <c r="D127" i="5"/>
  <c r="D128" i="5" s="1"/>
  <c r="D129" i="5" s="1"/>
  <c r="E125" i="5"/>
  <c r="F125" i="5"/>
  <c r="F126" i="5" s="1"/>
  <c r="H122" i="5"/>
  <c r="G121" i="5"/>
  <c r="G122" i="5" s="1"/>
  <c r="F120" i="5"/>
  <c r="F121" i="5"/>
  <c r="F122" i="5"/>
  <c r="E119" i="5"/>
  <c r="E120" i="5" s="1"/>
  <c r="E121" i="5" s="1"/>
  <c r="E122" i="5" s="1"/>
  <c r="D119" i="5"/>
  <c r="D120" i="5"/>
  <c r="D121" i="5" s="1"/>
  <c r="D122" i="5" s="1"/>
  <c r="E118" i="5"/>
  <c r="F118" i="5"/>
  <c r="F119" i="5" s="1"/>
  <c r="F113" i="5"/>
  <c r="E112" i="5"/>
  <c r="E113" i="5"/>
  <c r="D112" i="5"/>
  <c r="D113" i="5" s="1"/>
  <c r="E111" i="5"/>
  <c r="F111" i="5"/>
  <c r="F112" i="5"/>
  <c r="E105" i="5"/>
  <c r="F105" i="5"/>
  <c r="D105" i="5"/>
  <c r="D106" i="5"/>
  <c r="E104" i="5"/>
  <c r="F104" i="5" s="1"/>
  <c r="H101" i="5"/>
  <c r="G101" i="5"/>
  <c r="G100" i="5"/>
  <c r="F99" i="5"/>
  <c r="F100" i="5" s="1"/>
  <c r="F101" i="5" s="1"/>
  <c r="E98" i="5"/>
  <c r="E99" i="5" s="1"/>
  <c r="E100" i="5" s="1"/>
  <c r="E101" i="5" s="1"/>
  <c r="D98" i="5"/>
  <c r="D99" i="5"/>
  <c r="D100" i="5"/>
  <c r="D101" i="5"/>
  <c r="E97" i="5"/>
  <c r="F97" i="5"/>
  <c r="H94" i="5"/>
  <c r="G94" i="5"/>
  <c r="G93" i="5"/>
  <c r="F92" i="5"/>
  <c r="F93" i="5" s="1"/>
  <c r="F94" i="5" s="1"/>
  <c r="E91" i="5"/>
  <c r="E92" i="5" s="1"/>
  <c r="E93" i="5" s="1"/>
  <c r="E94" i="5" s="1"/>
  <c r="D91" i="5"/>
  <c r="D92" i="5"/>
  <c r="D93" i="5"/>
  <c r="D94" i="5"/>
  <c r="E90" i="5"/>
  <c r="F90" i="5"/>
  <c r="H87" i="5"/>
  <c r="G87" i="5"/>
  <c r="G86" i="5"/>
  <c r="F85" i="5"/>
  <c r="F86" i="5" s="1"/>
  <c r="F87" i="5" s="1"/>
  <c r="E84" i="5"/>
  <c r="E85" i="5" s="1"/>
  <c r="E86" i="5" s="1"/>
  <c r="E87" i="5" s="1"/>
  <c r="D84" i="5"/>
  <c r="D85" i="5"/>
  <c r="D86" i="5"/>
  <c r="D87" i="5"/>
  <c r="E83" i="5"/>
  <c r="F83" i="5"/>
  <c r="H80" i="5"/>
  <c r="G80" i="5"/>
  <c r="G79" i="5"/>
  <c r="F78" i="5"/>
  <c r="F79" i="5" s="1"/>
  <c r="F80" i="5" s="1"/>
  <c r="E77" i="5"/>
  <c r="E78" i="5" s="1"/>
  <c r="E79" i="5" s="1"/>
  <c r="E80" i="5" s="1"/>
  <c r="D77" i="5"/>
  <c r="D78" i="5"/>
  <c r="D79" i="5"/>
  <c r="D80" i="5"/>
  <c r="E76" i="5"/>
  <c r="F76" i="5"/>
  <c r="H73" i="5"/>
  <c r="G73" i="5"/>
  <c r="G72" i="5"/>
  <c r="F71" i="5"/>
  <c r="F72" i="5" s="1"/>
  <c r="F73" i="5" s="1"/>
  <c r="E70" i="5"/>
  <c r="E71" i="5" s="1"/>
  <c r="E72" i="5" s="1"/>
  <c r="E73" i="5" s="1"/>
  <c r="D70" i="5"/>
  <c r="D71" i="5"/>
  <c r="D72" i="5"/>
  <c r="D73" i="5"/>
  <c r="E69" i="5"/>
  <c r="F69" i="5"/>
  <c r="H66" i="5"/>
  <c r="G66" i="5"/>
  <c r="G65" i="5"/>
  <c r="F64" i="5"/>
  <c r="F65" i="5" s="1"/>
  <c r="F66" i="5" s="1"/>
  <c r="E63" i="5"/>
  <c r="E64" i="5" s="1"/>
  <c r="E65" i="5" s="1"/>
  <c r="E66" i="5" s="1"/>
  <c r="D63" i="5"/>
  <c r="D64" i="5" s="1"/>
  <c r="D65" i="5" s="1"/>
  <c r="D66" i="5" s="1"/>
  <c r="E62" i="5"/>
  <c r="F62" i="5" s="1"/>
  <c r="H59" i="5"/>
  <c r="G59" i="5"/>
  <c r="G58" i="5"/>
  <c r="F57" i="5"/>
  <c r="F58" i="5" s="1"/>
  <c r="F59" i="5" s="1"/>
  <c r="E56" i="5"/>
  <c r="E57" i="5" s="1"/>
  <c r="E58" i="5" s="1"/>
  <c r="E59" i="5" s="1"/>
  <c r="D56" i="5"/>
  <c r="D57" i="5" s="1"/>
  <c r="D58" i="5" s="1"/>
  <c r="D59" i="5" s="1"/>
  <c r="E55" i="5"/>
  <c r="F55" i="5" s="1"/>
  <c r="F50" i="5"/>
  <c r="F51" i="5" s="1"/>
  <c r="F52" i="5" s="1"/>
  <c r="E49" i="5"/>
  <c r="E50" i="5" s="1"/>
  <c r="E51" i="5" s="1"/>
  <c r="E52" i="5" s="1"/>
  <c r="E42" i="5"/>
  <c r="D42" i="5"/>
  <c r="E41" i="5"/>
  <c r="H38" i="5"/>
  <c r="G37" i="5"/>
  <c r="G38" i="5" s="1"/>
  <c r="F36" i="5"/>
  <c r="F37" i="5"/>
  <c r="F38" i="5" s="1"/>
  <c r="E36" i="5"/>
  <c r="E37" i="5" s="1"/>
  <c r="E38" i="5" s="1"/>
  <c r="E35" i="5"/>
  <c r="D35" i="5"/>
  <c r="D36" i="5" s="1"/>
  <c r="D37" i="5" s="1"/>
  <c r="D38" i="5" s="1"/>
  <c r="E34" i="5"/>
  <c r="F34" i="5" s="1"/>
  <c r="E28" i="5"/>
  <c r="D28" i="5"/>
  <c r="E27" i="5"/>
  <c r="F22" i="5"/>
  <c r="D22" i="5"/>
  <c r="E21" i="5"/>
  <c r="E22" i="5"/>
  <c r="D21" i="5"/>
  <c r="F20" i="5"/>
  <c r="F21" i="5" s="1"/>
  <c r="E20" i="5"/>
  <c r="G16" i="5"/>
  <c r="G17" i="5" s="1"/>
  <c r="F15" i="5"/>
  <c r="F16" i="5" s="1"/>
  <c r="F17" i="5" s="1"/>
  <c r="H17" i="5"/>
  <c r="E14" i="5"/>
  <c r="E15" i="5" s="1"/>
  <c r="E16" i="5" s="1"/>
  <c r="E17" i="5" s="1"/>
  <c r="D14" i="5"/>
  <c r="D15" i="5" s="1"/>
  <c r="D16" i="5" s="1"/>
  <c r="D17" i="5" s="1"/>
  <c r="E13" i="5"/>
  <c r="F13" i="5" s="1"/>
  <c r="H10" i="5"/>
  <c r="G9" i="5"/>
  <c r="G10" i="5" s="1"/>
  <c r="F9" i="5"/>
  <c r="F10" i="5" s="1"/>
  <c r="F8" i="5"/>
  <c r="E7" i="5"/>
  <c r="E8" i="5" s="1"/>
  <c r="E9" i="5" s="1"/>
  <c r="E10" i="5" s="1"/>
  <c r="D7" i="5"/>
  <c r="D8" i="5" s="1"/>
  <c r="D9" i="5" s="1"/>
  <c r="D10" i="5" s="1"/>
  <c r="E6" i="5"/>
  <c r="F6" i="5" s="1"/>
  <c r="G48" i="5"/>
  <c r="F49" i="5"/>
  <c r="F70" i="5"/>
  <c r="G69" i="5"/>
  <c r="H69" i="5" s="1"/>
  <c r="H70" i="5" s="1"/>
  <c r="H71" i="5" s="1"/>
  <c r="H72" i="5" s="1"/>
  <c r="F98" i="5"/>
  <c r="G97" i="5"/>
  <c r="G118" i="5"/>
  <c r="G119" i="5" s="1"/>
  <c r="G120" i="5" s="1"/>
  <c r="F91" i="5"/>
  <c r="G90" i="5"/>
  <c r="H90" i="5" s="1"/>
  <c r="H91" i="5" s="1"/>
  <c r="H92" i="5" s="1"/>
  <c r="H93" i="5" s="1"/>
  <c r="G83" i="5"/>
  <c r="F84" i="5"/>
  <c r="G132" i="5"/>
  <c r="H132" i="5" s="1"/>
  <c r="H133" i="5" s="1"/>
  <c r="H134" i="5" s="1"/>
  <c r="H135" i="5" s="1"/>
  <c r="G76" i="5"/>
  <c r="F77" i="5"/>
  <c r="G125" i="5"/>
  <c r="G126" i="5" s="1"/>
  <c r="G127" i="5" s="1"/>
  <c r="F106" i="5"/>
  <c r="E106" i="5"/>
  <c r="H48" i="5"/>
  <c r="H49" i="5" s="1"/>
  <c r="H50" i="5" s="1"/>
  <c r="H51" i="5" s="1"/>
  <c r="G49" i="5"/>
  <c r="G50" i="5" s="1"/>
  <c r="G77" i="5"/>
  <c r="G78" i="5"/>
  <c r="H76" i="5"/>
  <c r="H77" i="5" s="1"/>
  <c r="H78" i="5" s="1"/>
  <c r="H79" i="5" s="1"/>
  <c r="G84" i="5"/>
  <c r="G85" i="5" s="1"/>
  <c r="H83" i="5"/>
  <c r="H84" i="5"/>
  <c r="H85" i="5" s="1"/>
  <c r="H86" i="5" s="1"/>
  <c r="G98" i="5"/>
  <c r="G99" i="5"/>
  <c r="H97" i="5"/>
  <c r="H98" i="5" s="1"/>
  <c r="H99" i="5" s="1"/>
  <c r="H100" i="5" s="1"/>
  <c r="G140" i="5" l="1"/>
  <c r="H139" i="5"/>
  <c r="F14" i="5"/>
  <c r="G13" i="5"/>
  <c r="F35" i="5"/>
  <c r="G34" i="5"/>
  <c r="G62" i="5"/>
  <c r="F63" i="5"/>
  <c r="F7" i="5"/>
  <c r="G6" i="5"/>
  <c r="F56" i="5"/>
  <c r="G55" i="5"/>
  <c r="G70" i="5"/>
  <c r="G71" i="5" s="1"/>
  <c r="H118" i="5"/>
  <c r="H119" i="5" s="1"/>
  <c r="H120" i="5" s="1"/>
  <c r="H121" i="5" s="1"/>
  <c r="G91" i="5"/>
  <c r="G92" i="5" s="1"/>
  <c r="G133" i="5"/>
  <c r="G134" i="5" s="1"/>
  <c r="H125" i="5"/>
  <c r="H126" i="5" s="1"/>
  <c r="H127" i="5" s="1"/>
  <c r="H128" i="5" s="1"/>
  <c r="F140" i="5"/>
  <c r="G143" i="5"/>
  <c r="G51" i="5"/>
  <c r="G52" i="5" s="1"/>
  <c r="H62" i="5" l="1"/>
  <c r="H63" i="5" s="1"/>
  <c r="H64" i="5" s="1"/>
  <c r="H65" i="5" s="1"/>
  <c r="G63" i="5"/>
  <c r="G64" i="5" s="1"/>
  <c r="G7" i="5"/>
  <c r="G8" i="5" s="1"/>
  <c r="H6" i="5"/>
  <c r="H7" i="5" s="1"/>
  <c r="H8" i="5" s="1"/>
  <c r="H9" i="5" s="1"/>
  <c r="G35" i="5"/>
  <c r="G36" i="5" s="1"/>
  <c r="H34" i="5"/>
  <c r="H35" i="5" s="1"/>
  <c r="H36" i="5" s="1"/>
  <c r="H37" i="5" s="1"/>
  <c r="H140" i="5"/>
  <c r="G141" i="5"/>
  <c r="H141" i="5" s="1"/>
  <c r="G56" i="5"/>
  <c r="G57" i="5" s="1"/>
  <c r="H55" i="5"/>
  <c r="H56" i="5" s="1"/>
  <c r="H57" i="5" s="1"/>
  <c r="H58" i="5" s="1"/>
  <c r="H13" i="5"/>
  <c r="H14" i="5" s="1"/>
  <c r="H15" i="5" s="1"/>
  <c r="H16" i="5" s="1"/>
  <c r="G14" i="5"/>
  <c r="G15" i="5" s="1"/>
</calcChain>
</file>

<file path=xl/sharedStrings.xml><?xml version="1.0" encoding="utf-8"?>
<sst xmlns="http://schemas.openxmlformats.org/spreadsheetml/2006/main" count="414" uniqueCount="169">
  <si>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</si>
  <si>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</si>
  <si>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</si>
  <si>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</si>
  <si>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</si>
  <si>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</si>
  <si>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</si>
  <si>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</si>
  <si>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</si>
  <si>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</si>
  <si>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</si>
  <si>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</si>
  <si>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</si>
  <si>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</si>
  <si>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</si>
  <si>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</si>
  <si>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</si>
  <si>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</si>
  <si>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</si>
  <si>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</si>
  <si>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</si>
  <si>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</si>
  <si>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</si>
  <si>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</si>
  <si>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</si>
  <si>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</si>
  <si>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</si>
  <si>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</si>
  <si>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</si>
  <si>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</si>
  <si>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</si>
  <si>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</si>
  <si>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</si>
  <si>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</si>
  <si>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</si>
  <si>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</si>
  <si>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形</t>
  </si>
  <si>
    <t>優</t>
    <phoneticPr fontId="4" type="noConversion"/>
  </si>
  <si>
    <t>以該宗地最接近市場之距離（D）衡量。</t>
    <phoneticPr fontId="4" type="noConversion"/>
  </si>
  <si>
    <t>劣</t>
    <phoneticPr fontId="4" type="noConversion"/>
  </si>
  <si>
    <t>普通</t>
    <phoneticPr fontId="4" type="noConversion"/>
  </si>
  <si>
    <t>普通：雙面臨街地（不含路角地）</t>
    <phoneticPr fontId="4" type="noConversion"/>
  </si>
  <si>
    <t>面積：A</t>
    <phoneticPr fontId="4" type="noConversion"/>
  </si>
  <si>
    <t>寬度：W</t>
    <phoneticPr fontId="4" type="noConversion"/>
  </si>
  <si>
    <t>深度：D</t>
    <phoneticPr fontId="4" type="noConversion"/>
  </si>
  <si>
    <t>優：方形（包括正方形、長方形、近似方形、近似長方形）</t>
    <phoneticPr fontId="4" type="noConversion"/>
  </si>
  <si>
    <t>劣：不規則形且可利用度低者</t>
    <phoneticPr fontId="4" type="noConversion"/>
  </si>
  <si>
    <t>優：三面臨街以上</t>
    <phoneticPr fontId="4" type="noConversion"/>
  </si>
  <si>
    <t>以該宗地接近嫌惡設施之距離（D）衡量。</t>
    <phoneticPr fontId="4" type="noConversion"/>
  </si>
  <si>
    <t>以自主要出入道路通達該宗地之地勢衡量</t>
    <phoneticPr fontId="4" type="noConversion"/>
  </si>
  <si>
    <t>稍優：限制建築高度或面積</t>
    <phoneticPr fontId="4" type="noConversion"/>
  </si>
  <si>
    <t>優：40m≦W</t>
    <phoneticPr fontId="4" type="noConversion"/>
  </si>
  <si>
    <t>稍優：次要道路</t>
  </si>
  <si>
    <t>普通：巷道</t>
  </si>
  <si>
    <t>稍劣：農路</t>
  </si>
  <si>
    <t>劣：無</t>
  </si>
  <si>
    <t>優：1000㎡≦A</t>
    <phoneticPr fontId="4" type="noConversion"/>
  </si>
  <si>
    <t>稍優：300㎡≦A＜1000㎡</t>
    <phoneticPr fontId="4" type="noConversion"/>
  </si>
  <si>
    <t>普通：65㎡≦A＜300㎡</t>
    <phoneticPr fontId="4" type="noConversion"/>
  </si>
  <si>
    <t>劣：W＜4m</t>
    <phoneticPr fontId="4" type="noConversion"/>
  </si>
  <si>
    <t>優：30m≦D</t>
    <phoneticPr fontId="4" type="noConversion"/>
  </si>
  <si>
    <t>普通：8m≦W＜20m</t>
    <phoneticPr fontId="4" type="noConversion"/>
  </si>
  <si>
    <t>稍劣：4m≦W＜8m</t>
    <phoneticPr fontId="4" type="noConversion"/>
  </si>
  <si>
    <t>以該宗地最接近學校之距離（D）衡量。</t>
    <phoneticPr fontId="4" type="noConversion"/>
  </si>
  <si>
    <t>以該宗地最接近公園、廣場之距離（D）衡量。</t>
    <phoneticPr fontId="4" type="noConversion"/>
  </si>
  <si>
    <t>以該宗地最接近車站（含火車、高鐵、捷運及公車站牌等）之距離（D）衡量。</t>
    <phoneticPr fontId="4" type="noConversion"/>
  </si>
  <si>
    <t>以該宗地最接近商圈之距離（D）衡量。</t>
    <phoneticPr fontId="4" type="noConversion"/>
  </si>
  <si>
    <t>優：3000m＜D</t>
    <phoneticPr fontId="4" type="noConversion"/>
  </si>
  <si>
    <t xml:space="preserve">稍優：1800m＜D≦3000m </t>
    <phoneticPr fontId="4" type="noConversion"/>
  </si>
  <si>
    <t xml:space="preserve">普通：900m＜D≦1800m </t>
    <phoneticPr fontId="4" type="noConversion"/>
  </si>
  <si>
    <t>稍劣：300m＜D≦900m</t>
    <phoneticPr fontId="4" type="noConversion"/>
  </si>
  <si>
    <t>劣：D≦300m</t>
    <phoneticPr fontId="4" type="noConversion"/>
  </si>
  <si>
    <t>優：都市計畫商業區</t>
    <phoneticPr fontId="4" type="noConversion"/>
  </si>
  <si>
    <t>普通：都市計畫住宅區、非都市土地甲、乙種建築用地</t>
    <phoneticPr fontId="4" type="noConversion"/>
  </si>
  <si>
    <t>劣：農業區建地目、使用編定為丙種建築用地或受開發限制之住宅用地等</t>
    <phoneticPr fontId="4" type="noConversion"/>
  </si>
  <si>
    <t>劣：建蔽率≦40％。</t>
    <phoneticPr fontId="4" type="noConversion"/>
  </si>
  <si>
    <t>面</t>
    <phoneticPr fontId="4" type="noConversion"/>
  </si>
  <si>
    <t>稍劣：39㎡≦A＜65㎡</t>
    <phoneticPr fontId="4" type="noConversion"/>
  </si>
  <si>
    <t>劣：A＜39㎡</t>
    <phoneticPr fontId="4" type="noConversion"/>
  </si>
  <si>
    <t>寬</t>
    <phoneticPr fontId="4" type="noConversion"/>
  </si>
  <si>
    <t>度</t>
    <phoneticPr fontId="4" type="noConversion"/>
  </si>
  <si>
    <t>優：20m≦W</t>
    <phoneticPr fontId="4" type="noConversion"/>
  </si>
  <si>
    <t>稍優：10m≦W＜20m</t>
    <phoneticPr fontId="4" type="noConversion"/>
  </si>
  <si>
    <t>普通：5m≦W＜10m</t>
    <phoneticPr fontId="4" type="noConversion"/>
  </si>
  <si>
    <t>稍劣：3m≦W＜5m</t>
    <phoneticPr fontId="4" type="noConversion"/>
  </si>
  <si>
    <t>劣：W＜3m</t>
    <phoneticPr fontId="4" type="noConversion"/>
  </si>
  <si>
    <t>深</t>
    <phoneticPr fontId="4" type="noConversion"/>
  </si>
  <si>
    <t>普通：11m≦D＜30m</t>
    <phoneticPr fontId="4" type="noConversion"/>
  </si>
  <si>
    <t>劣：D＜11m</t>
    <phoneticPr fontId="4" type="noConversion"/>
  </si>
  <si>
    <t>形</t>
    <phoneticPr fontId="4" type="noConversion"/>
  </si>
  <si>
    <t>狀</t>
    <phoneticPr fontId="4" type="noConversion"/>
  </si>
  <si>
    <t>臨</t>
    <phoneticPr fontId="4" type="noConversion"/>
  </si>
  <si>
    <t>街</t>
    <phoneticPr fontId="4" type="noConversion"/>
  </si>
  <si>
    <t>情</t>
    <phoneticPr fontId="4" type="noConversion"/>
  </si>
  <si>
    <t>地</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</si>
  <si>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</si>
  <si>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</si>
  <si>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</si>
  <si>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</si>
  <si>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</si>
  <si>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</si>
  <si>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</si>
  <si>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稍優：20m≦W＜40m</t>
    <phoneticPr fontId="4" type="noConversion"/>
  </si>
  <si>
    <t>接</t>
    <phoneticPr fontId="4" type="noConversion"/>
  </si>
  <si>
    <t>近</t>
    <phoneticPr fontId="4" type="noConversion"/>
  </si>
  <si>
    <t>優：D≦100m</t>
    <phoneticPr fontId="4" type="noConversion"/>
  </si>
  <si>
    <t>學</t>
    <phoneticPr fontId="4" type="noConversion"/>
  </si>
  <si>
    <t>稍優：100m＜D≦500m</t>
    <phoneticPr fontId="4" type="noConversion"/>
  </si>
  <si>
    <t>校</t>
    <phoneticPr fontId="4" type="noConversion"/>
  </si>
  <si>
    <t>普通：500m＜D≦1000m</t>
    <phoneticPr fontId="4" type="noConversion"/>
  </si>
  <si>
    <t>之</t>
    <phoneticPr fontId="4" type="noConversion"/>
  </si>
  <si>
    <t>稍劣：1000m＜D≦1500m</t>
    <phoneticPr fontId="4" type="noConversion"/>
  </si>
  <si>
    <t>程度</t>
    <phoneticPr fontId="4" type="noConversion"/>
  </si>
  <si>
    <t>劣：1500m＜D</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</si>
  <si>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</si>
  <si>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</si>
  <si>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</si>
  <si>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</si>
  <si>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</si>
  <si>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</si>
  <si>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車</t>
    <phoneticPr fontId="4" type="noConversion"/>
  </si>
  <si>
    <t>站</t>
    <phoneticPr fontId="4" type="noConversion"/>
  </si>
  <si>
    <t>商</t>
    <phoneticPr fontId="4" type="noConversion"/>
  </si>
  <si>
    <t>稍優：100m＜D≦300m</t>
    <phoneticPr fontId="4" type="noConversion"/>
  </si>
  <si>
    <t>圈</t>
    <phoneticPr fontId="4" type="noConversion"/>
  </si>
  <si>
    <t>普通：300m＜D≦600m</t>
    <phoneticPr fontId="4" type="noConversion"/>
  </si>
  <si>
    <t>稍劣：600m＜D≦1000m</t>
    <phoneticPr fontId="4" type="noConversion"/>
  </si>
  <si>
    <t>劣：1000m＜D</t>
    <phoneticPr fontId="4" type="noConversion"/>
  </si>
  <si>
    <t>嫌</t>
    <phoneticPr fontId="4" type="noConversion"/>
  </si>
  <si>
    <t>惡</t>
    <phoneticPr fontId="4" type="noConversion"/>
  </si>
  <si>
    <t>設</t>
    <phoneticPr fontId="4" type="noConversion"/>
  </si>
  <si>
    <t>施</t>
    <phoneticPr fontId="4" type="noConversion"/>
  </si>
  <si>
    <t>停</t>
    <phoneticPr fontId="4" type="noConversion"/>
  </si>
  <si>
    <t>優：方便（大型停車場）</t>
    <phoneticPr fontId="4" type="noConversion"/>
  </si>
  <si>
    <t>方</t>
    <phoneticPr fontId="4" type="noConversion"/>
  </si>
  <si>
    <t>普通：有停車場、停車格或道路可供停車</t>
    <phoneticPr fontId="4" type="noConversion"/>
  </si>
  <si>
    <t>便</t>
    <phoneticPr fontId="4" type="noConversion"/>
  </si>
  <si>
    <t>劣：不便（無停車場或停車位）</t>
    <phoneticPr fontId="4" type="noConversion"/>
  </si>
  <si>
    <t>性</t>
    <phoneticPr fontId="4" type="noConversion"/>
  </si>
  <si>
    <t>行政條件</t>
    <phoneticPr fontId="4" type="noConversion"/>
  </si>
  <si>
    <t>使用</t>
    <phoneticPr fontId="4" type="noConversion"/>
  </si>
  <si>
    <t>分區</t>
    <phoneticPr fontId="4" type="noConversion"/>
  </si>
  <si>
    <t>或</t>
    <phoneticPr fontId="4" type="noConversion"/>
  </si>
  <si>
    <t>編定</t>
    <phoneticPr fontId="4" type="noConversion"/>
  </si>
  <si>
    <t>用地</t>
    <phoneticPr fontId="4" type="noConversion"/>
  </si>
  <si>
    <t>建</t>
    <phoneticPr fontId="4" type="noConversion"/>
  </si>
  <si>
    <t>優：70％＜建蔽率。</t>
    <phoneticPr fontId="4" type="noConversion"/>
  </si>
  <si>
    <t>蔽</t>
    <phoneticPr fontId="4" type="noConversion"/>
  </si>
  <si>
    <t>稍優：60％＜建蔽率≦70％。</t>
    <phoneticPr fontId="4" type="noConversion"/>
  </si>
  <si>
    <t>率</t>
    <phoneticPr fontId="4" type="noConversion"/>
  </si>
  <si>
    <t>普通：50％＜建蔽率≦60％。</t>
    <phoneticPr fontId="4" type="noConversion"/>
  </si>
  <si>
    <t>稍劣：40％＜建蔽率≦50％。</t>
    <phoneticPr fontId="4" type="noConversion"/>
  </si>
  <si>
    <t>容</t>
    <phoneticPr fontId="4" type="noConversion"/>
  </si>
  <si>
    <t>優：500％≦容積率。</t>
    <phoneticPr fontId="4" type="noConversion"/>
  </si>
  <si>
    <t>積</t>
    <phoneticPr fontId="4" type="noConversion"/>
  </si>
  <si>
    <t>稍優：400％≦容積率＜500％。</t>
    <phoneticPr fontId="4" type="noConversion"/>
  </si>
  <si>
    <t>普通：300％≦容積率＜400％。</t>
    <phoneticPr fontId="4" type="noConversion"/>
  </si>
  <si>
    <t>稍劣：200％≦容積率＜300％。</t>
    <phoneticPr fontId="4" type="noConversion"/>
  </si>
  <si>
    <t>劣：容積率＜200％。</t>
    <phoneticPr fontId="4" type="noConversion"/>
  </si>
  <si>
    <t>有</t>
    <phoneticPr fontId="4" type="noConversion"/>
  </si>
  <si>
    <t>無</t>
    <phoneticPr fontId="4" type="noConversion"/>
  </si>
  <si>
    <t>禁</t>
    <phoneticPr fontId="4" type="noConversion"/>
  </si>
  <si>
    <t>限</t>
    <phoneticPr fontId="4" type="noConversion"/>
  </si>
  <si>
    <t>一、商業用地指依其法定用途，為商業使用或類似使用之用地。</t>
    <phoneticPr fontId="4" type="noConversion"/>
  </si>
  <si>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</si>
  <si>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</si>
  <si>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</si>
  <si>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</si>
  <si>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臺南市北區影響商業用地地價個別因素評價基準明細表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</si>
</sst>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_ "/>
    <numFmt numFmtId="177" formatCode="0.0_ "/>
    <numFmt numFmtId="178" formatCode="0_ "/>
    <numFmt numFmtId="179" formatCode="0.0_);[Red]\(0.0\)"/>
  </numFmts>
  <fonts count="10"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新細明體"/>
      <family val="1"/>
      <charset val="136"/>
    </font>
    <font>
      <sz val="12"/>
      <name val="Courier"/>
      <family val="3"/>
    </font>
    <font>
      <sz val="9"/>
      <name val="標楷體"/>
      <family val="4"/>
      <charset val="136"/>
    </font>
  </fonts>
  <fills count="3">
    <fill>
      <patternFill patternType="none"/>
    </fill>
    <fill>
      <patternFill patternType="gray125"/>
    </fill>
    <fill>
      <patternFill patternType="solid">
        <fgColor indexed="13"/>
        <bgColor indexed="64"/>
      </patternFill>
    </fill>
  </fills>
  <borders count="3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style="medium">
        <color indexed="64"/>
      </top>
      <bottom/>
      <diagonal/>
    </border>
    <border>
      <left style="thick">
        <color indexed="64"/>
      </left>
      <right style="medium">
        <color indexed="64"/>
      </right>
      <top/>
      <bottom/>
      <diagonal/>
    </border>
    <border>
      <left style="thick">
        <color indexed="64"/>
      </left>
      <right style="medium">
        <color indexed="64"/>
      </right>
      <top/>
      <bottom style="thick">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ck">
        <color indexed="64"/>
      </left>
      <right style="medium">
        <color indexed="64"/>
      </right>
      <top style="thick">
        <color indexed="64"/>
      </top>
      <bottom/>
      <diagonal/>
    </border>
    <border>
      <left style="thick">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top style="medium">
        <color indexed="64"/>
      </top>
      <bottom style="thin">
        <color indexed="64"/>
      </bottom>
      <diagonal/>
    </border>
  </borders>
  <cellStyleXfs count="2">
    <xf numFmtId="0" fontId="0" fillId="0" borderId="0">
      <alignment vertical="center"/>
    </xf>
    <xf numFmtId="0" fontId="8" fillId="0" borderId="0"/>
  </cellStyleXfs>
  <cellXfs count="87">
    <xf numFmtId="0" fontId="0" fillId="0" borderId="0" xfId="0">
      <alignment vertical="center"/>
    </xf>
    <xf numFmtId="0" fontId="6" fillId="0" borderId="0" xfId="0" applyFont="1" applyAlignment="1">
      <alignment horizontal="center" vertical="center"/>
    </xf>
    <xf numFmtId="0" fontId="7" fillId="0" borderId="0" xfId="0" applyFont="1">
      <alignment vertical="center"/>
    </xf>
    <xf numFmtId="0" fontId="2" fillId="0" borderId="1" xfId="0" applyFont="1" applyBorder="1" applyAlignment="1">
      <alignment vertical="top" wrapText="1"/>
    </xf>
    <xf numFmtId="0" fontId="2" fillId="0" borderId="2" xfId="0" applyFont="1" applyBorder="1" applyAlignment="1">
      <alignment horizontal="justify" vertical="top" wrapText="1"/>
    </xf>
    <xf numFmtId="0" fontId="2" fillId="0" borderId="2" xfId="0" applyFont="1" applyBorder="1" applyAlignment="1">
      <alignment vertical="top" wrapText="1"/>
    </xf>
    <xf numFmtId="0" fontId="7" fillId="0" borderId="3" xfId="0" applyFont="1" applyBorder="1" applyAlignment="1">
      <alignment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2" borderId="6" xfId="0" applyFont="1" applyFill="1" applyBorder="1" applyAlignment="1">
      <alignment horizontal="center" vertical="center" wrapText="1"/>
    </xf>
    <xf numFmtId="0" fontId="3" fillId="0" borderId="7" xfId="0" applyFont="1" applyBorder="1" applyAlignment="1">
      <alignment horizontal="right" vertical="center"/>
    </xf>
    <xf numFmtId="0" fontId="3" fillId="0" borderId="8" xfId="0" applyFont="1" applyBorder="1">
      <alignment vertical="center"/>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 xfId="0" applyFont="1" applyBorder="1" applyAlignment="1">
      <alignment horizontal="justify" vertical="top" wrapText="1"/>
    </xf>
    <xf numFmtId="0" fontId="7" fillId="0" borderId="2" xfId="0" applyFont="1" applyBorder="1" applyAlignment="1">
      <alignment vertical="top" wrapText="1"/>
    </xf>
    <xf numFmtId="0" fontId="2" fillId="0" borderId="1" xfId="0" applyFont="1" applyFill="1" applyBorder="1" applyAlignment="1">
      <alignment vertical="top" wrapText="1"/>
    </xf>
    <xf numFmtId="0" fontId="2" fillId="0" borderId="2" xfId="0" applyFont="1" applyFill="1" applyBorder="1" applyAlignment="1">
      <alignment horizontal="justify" vertical="top" wrapText="1"/>
    </xf>
    <xf numFmtId="0" fontId="2" fillId="0" borderId="2" xfId="0" applyFont="1" applyFill="1" applyBorder="1" applyAlignment="1">
      <alignment vertical="top" wrapText="1"/>
    </xf>
    <xf numFmtId="0" fontId="7" fillId="0" borderId="2" xfId="0" applyFont="1" applyFill="1" applyBorder="1" applyAlignment="1">
      <alignment vertical="top" wrapText="1"/>
    </xf>
    <xf numFmtId="0" fontId="2" fillId="0" borderId="3" xfId="0" applyFont="1" applyBorder="1" applyAlignment="1">
      <alignment vertical="top" wrapText="1"/>
    </xf>
    <xf numFmtId="0" fontId="2" fillId="0" borderId="1" xfId="0" applyFont="1" applyBorder="1" applyAlignment="1">
      <alignment vertical="center" wrapText="1"/>
    </xf>
    <xf numFmtId="0" fontId="1" fillId="0" borderId="0" xfId="0" applyFont="1">
      <alignment vertical="center"/>
    </xf>
    <xf numFmtId="0" fontId="9" fillId="0" borderId="2" xfId="0" applyFont="1" applyBorder="1" applyAlignment="1">
      <alignment vertical="top" wrapText="1"/>
    </xf>
    <xf numFmtId="0" fontId="9" fillId="0" borderId="2"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8" fontId="7" fillId="0" borderId="11" xfId="1" applyNumberFormat="1" applyFont="1" applyBorder="1" applyAlignment="1" applyProtection="1">
      <alignment horizontal="center" vertical="center"/>
    </xf>
    <xf numFmtId="176" fontId="7" fillId="0" borderId="11" xfId="1" applyNumberFormat="1" applyFont="1" applyBorder="1" applyAlignment="1" applyProtection="1">
      <alignment horizontal="center" vertical="center"/>
    </xf>
    <xf numFmtId="176" fontId="7" fillId="0" borderId="12" xfId="1" applyNumberFormat="1" applyFont="1" applyBorder="1" applyAlignment="1" applyProtection="1">
      <alignment horizontal="center" vertical="center"/>
    </xf>
    <xf numFmtId="176" fontId="7" fillId="0" borderId="13" xfId="1" applyNumberFormat="1" applyFont="1" applyBorder="1" applyAlignment="1" applyProtection="1">
      <alignment horizontal="center" vertical="center"/>
    </xf>
    <xf numFmtId="178" fontId="7" fillId="0" borderId="14" xfId="1" applyNumberFormat="1" applyFont="1" applyBorder="1" applyAlignment="1" applyProtection="1">
      <alignment horizontal="center" vertical="center"/>
    </xf>
    <xf numFmtId="177" fontId="7" fillId="0" borderId="11" xfId="1" applyNumberFormat="1" applyFont="1" applyBorder="1" applyAlignment="1" applyProtection="1">
      <alignment horizontal="center" vertical="center"/>
    </xf>
    <xf numFmtId="178" fontId="7" fillId="0" borderId="15" xfId="1" applyNumberFormat="1" applyFont="1" applyBorder="1" applyAlignment="1" applyProtection="1">
      <alignment horizontal="center" vertical="center"/>
    </xf>
    <xf numFmtId="176" fontId="7" fillId="0" borderId="15" xfId="1" applyNumberFormat="1" applyFont="1" applyBorder="1" applyAlignment="1" applyProtection="1">
      <alignment horizontal="center" vertical="center"/>
    </xf>
    <xf numFmtId="178" fontId="7" fillId="0" borderId="13" xfId="1" applyNumberFormat="1" applyFont="1" applyBorder="1" applyAlignment="1" applyProtection="1">
      <alignment horizontal="center" vertical="center"/>
    </xf>
    <xf numFmtId="178" fontId="7" fillId="0" borderId="16" xfId="1" applyNumberFormat="1" applyFont="1" applyBorder="1" applyAlignment="1" applyProtection="1">
      <alignment horizontal="center" vertical="center"/>
    </xf>
    <xf numFmtId="176" fontId="7" fillId="0" borderId="17" xfId="1" applyNumberFormat="1" applyFont="1" applyBorder="1" applyAlignment="1" applyProtection="1">
      <alignment horizontal="center" vertical="center"/>
    </xf>
    <xf numFmtId="176" fontId="7" fillId="0" borderId="18" xfId="1" applyNumberFormat="1" applyFont="1" applyBorder="1" applyAlignment="1" applyProtection="1">
      <alignment horizontal="center" vertical="center"/>
    </xf>
    <xf numFmtId="179" fontId="7" fillId="0" borderId="11" xfId="1" applyNumberFormat="1" applyFont="1" applyBorder="1" applyAlignment="1" applyProtection="1">
      <alignment horizontal="center" vertical="center"/>
    </xf>
    <xf numFmtId="179" fontId="7" fillId="0" borderId="15" xfId="1" applyNumberFormat="1" applyFont="1" applyBorder="1" applyAlignment="1" applyProtection="1">
      <alignment horizontal="center" vertical="center"/>
    </xf>
    <xf numFmtId="177" fontId="7" fillId="0" borderId="15" xfId="1" applyNumberFormat="1" applyFont="1" applyBorder="1" applyAlignment="1" applyProtection="1">
      <alignment horizontal="center" vertical="center"/>
    </xf>
    <xf numFmtId="177" fontId="7" fillId="0" borderId="13" xfId="1" applyNumberFormat="1" applyFont="1" applyBorder="1" applyAlignment="1" applyProtection="1">
      <alignment horizontal="center" vertical="center"/>
    </xf>
    <xf numFmtId="177" fontId="7" fillId="0" borderId="16" xfId="1" applyNumberFormat="1" applyFont="1" applyBorder="1" applyAlignment="1" applyProtection="1">
      <alignment horizontal="center" vertical="center"/>
    </xf>
    <xf numFmtId="0" fontId="2" fillId="0" borderId="2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5" fillId="0" borderId="25" xfId="0" applyFont="1" applyBorder="1" applyAlignment="1">
      <alignment horizontal="center" vertical="center" textRotation="255" wrapText="1"/>
    </xf>
    <xf numFmtId="0" fontId="0" fillId="0" borderId="21" xfId="0" applyBorder="1" applyAlignment="1">
      <alignment horizontal="center" vertical="center" textRotation="255" wrapText="1"/>
    </xf>
    <xf numFmtId="0" fontId="2" fillId="0" borderId="24" xfId="0" applyFont="1" applyBorder="1" applyAlignment="1">
      <alignment horizontal="center" vertical="center" wrapText="1"/>
    </xf>
    <xf numFmtId="0" fontId="2" fillId="0" borderId="15" xfId="0" applyFont="1" applyBorder="1" applyAlignment="1">
      <alignment horizontal="center" vertical="center" wrapText="1"/>
    </xf>
    <xf numFmtId="0" fontId="6" fillId="0" borderId="0" xfId="0" applyFont="1" applyAlignment="1">
      <alignment horizontal="center" vertical="center"/>
    </xf>
    <xf numFmtId="0" fontId="0" fillId="0" borderId="0" xfId="0" applyAlignment="1">
      <alignment vertical="center"/>
    </xf>
    <xf numFmtId="0" fontId="5" fillId="0" borderId="21" xfId="0" applyFont="1" applyBorder="1" applyAlignment="1">
      <alignment horizontal="center" vertical="center" textRotation="255" wrapText="1"/>
    </xf>
    <xf numFmtId="0" fontId="0" fillId="0" borderId="22" xfId="0" applyBorder="1" applyAlignment="1">
      <alignment horizontal="center" vertical="center" textRotation="255" wrapText="1"/>
    </xf>
    <xf numFmtId="0" fontId="2" fillId="0" borderId="1" xfId="0" applyFont="1" applyBorder="1" applyAlignment="1">
      <alignment vertical="top" wrapText="1"/>
    </xf>
    <xf numFmtId="0" fontId="7" fillId="0" borderId="2" xfId="0" applyFont="1" applyBorder="1" applyAlignment="1">
      <alignment vertical="top" wrapText="1"/>
    </xf>
    <xf numFmtId="0" fontId="2" fillId="0" borderId="2" xfId="0" applyFont="1" applyBorder="1" applyAlignment="1">
      <alignment vertical="top" wrapText="1"/>
    </xf>
    <xf numFmtId="0" fontId="2" fillId="0" borderId="2" xfId="0" applyFont="1" applyBorder="1" applyAlignment="1">
      <alignment vertical="center" wrapText="1"/>
    </xf>
    <xf numFmtId="0" fontId="7" fillId="0" borderId="2" xfId="0" applyFont="1" applyBorder="1" applyAlignment="1">
      <alignment vertical="center" wrapText="1"/>
    </xf>
    <xf numFmtId="0" fontId="2" fillId="0" borderId="0" xfId="0" applyFont="1" applyAlignment="1">
      <alignment vertical="center" wrapText="1"/>
    </xf>
    <xf numFmtId="0" fontId="0" fillId="0" borderId="0" xfId="0">
      <alignment vertical="center"/>
    </xf>
    <xf numFmtId="0" fontId="1" fillId="0" borderId="0" xfId="0" applyFont="1" applyAlignment="1">
      <alignment vertical="center" wrapText="1"/>
    </xf>
    <xf numFmtId="0" fontId="2" fillId="0" borderId="27" xfId="0" applyFont="1" applyBorder="1" applyAlignment="1">
      <alignment horizontal="justify" vertical="top" wrapText="1"/>
    </xf>
    <xf numFmtId="0" fontId="2" fillId="0" borderId="28" xfId="0" applyFont="1" applyBorder="1" applyAlignment="1">
      <alignment horizontal="justify" vertical="top" wrapText="1"/>
    </xf>
    <xf numFmtId="0" fontId="2" fillId="0" borderId="29" xfId="0" applyFont="1" applyBorder="1" applyAlignment="1">
      <alignment horizontal="justify" vertical="top" wrapText="1"/>
    </xf>
    <xf numFmtId="0" fontId="5" fillId="0" borderId="30" xfId="0" applyFont="1" applyBorder="1" applyAlignment="1">
      <alignment horizontal="left" vertical="center"/>
    </xf>
    <xf numFmtId="0" fontId="0" fillId="0" borderId="30" xfId="0" applyBorder="1" applyAlignment="1">
      <alignment horizontal="left" vertical="center"/>
    </xf>
    <xf numFmtId="0" fontId="5" fillId="0" borderId="26" xfId="0" applyFont="1" applyBorder="1" applyAlignment="1">
      <alignment horizontal="center" vertical="center" textRotation="255" wrapText="1"/>
    </xf>
    <xf numFmtId="0" fontId="5" fillId="0" borderId="22"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5" fillId="0" borderId="25" xfId="0" applyFont="1" applyBorder="1" applyAlignment="1">
      <alignment horizontal="center" vertical="center" wrapText="1"/>
    </xf>
    <xf numFmtId="0" fontId="5" fillId="0" borderId="26"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1" xfId="0" applyFont="1" applyBorder="1" applyAlignment="1">
      <alignment horizontal="left" vertical="top"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3</xdr:row>
      <xdr:rowOff>0</xdr:rowOff>
    </xdr:from>
    <xdr:to>
      <xdr:col>2</xdr:col>
      <xdr:colOff>666750</xdr:colOff>
      <xdr:row>4</xdr:row>
      <xdr:rowOff>200025</xdr:rowOff>
    </xdr:to>
    <xdr:sp macro="" textlink="">
      <xdr:nvSpPr>
        <xdr:cNvPr id="3073" name="Line 1"/>
        <xdr:cNvSpPr>
          <a:spLocks noChangeShapeType="1"/>
        </xdr:cNvSpPr>
      </xdr:nvSpPr>
      <xdr:spPr bwMode="auto">
        <a:xfrm>
          <a:off x="819150" y="914400"/>
          <a:ext cx="657225" cy="419100"/>
        </a:xfrm>
        <a:prstGeom prst="line">
          <a:avLst/>
        </a:prstGeom>
        <a:noFill/>
        <a:ln w="9525">
          <a:solidFill>
            <a:srgbClr val="000000"/>
          </a:solidFill>
          <a:round/>
          <a:headEnd/>
          <a:tailEnd/>
        </a:ln>
      </xdr:spPr>
    </xdr:sp>
    <xdr:clientData/>
  </xdr:twoCellAnchor>
  <xdr:twoCellAnchor>
    <xdr:from>
      <xdr:col>2</xdr:col>
      <xdr:colOff>9525</xdr:colOff>
      <xdr:row>10</xdr:row>
      <xdr:rowOff>0</xdr:rowOff>
    </xdr:from>
    <xdr:to>
      <xdr:col>2</xdr:col>
      <xdr:colOff>666750</xdr:colOff>
      <xdr:row>11</xdr:row>
      <xdr:rowOff>200025</xdr:rowOff>
    </xdr:to>
    <xdr:sp macro="" textlink="">
      <xdr:nvSpPr>
        <xdr:cNvPr id="3074" name="Line 2"/>
        <xdr:cNvSpPr>
          <a:spLocks noChangeShapeType="1"/>
        </xdr:cNvSpPr>
      </xdr:nvSpPr>
      <xdr:spPr bwMode="auto">
        <a:xfrm>
          <a:off x="819150" y="2447925"/>
          <a:ext cx="657225" cy="419100"/>
        </a:xfrm>
        <a:prstGeom prst="line">
          <a:avLst/>
        </a:prstGeom>
        <a:noFill/>
        <a:ln w="9525">
          <a:solidFill>
            <a:srgbClr val="000000"/>
          </a:solidFill>
          <a:round/>
          <a:headEnd/>
          <a:tailEnd/>
        </a:ln>
      </xdr:spPr>
    </xdr:sp>
    <xdr:clientData/>
  </xdr:twoCellAnchor>
  <xdr:twoCellAnchor>
    <xdr:from>
      <xdr:col>2</xdr:col>
      <xdr:colOff>9525</xdr:colOff>
      <xdr:row>17</xdr:row>
      <xdr:rowOff>0</xdr:rowOff>
    </xdr:from>
    <xdr:to>
      <xdr:col>2</xdr:col>
      <xdr:colOff>666750</xdr:colOff>
      <xdr:row>18</xdr:row>
      <xdr:rowOff>200025</xdr:rowOff>
    </xdr:to>
    <xdr:sp macro="" textlink="">
      <xdr:nvSpPr>
        <xdr:cNvPr id="3075" name="Line 3"/>
        <xdr:cNvSpPr>
          <a:spLocks noChangeShapeType="1"/>
        </xdr:cNvSpPr>
      </xdr:nvSpPr>
      <xdr:spPr bwMode="auto">
        <a:xfrm>
          <a:off x="819150" y="3981450"/>
          <a:ext cx="657225" cy="419100"/>
        </a:xfrm>
        <a:prstGeom prst="line">
          <a:avLst/>
        </a:prstGeom>
        <a:noFill/>
        <a:ln w="9525">
          <a:solidFill>
            <a:srgbClr val="000000"/>
          </a:solidFill>
          <a:round/>
          <a:headEnd/>
          <a:tailEnd/>
        </a:ln>
      </xdr:spPr>
    </xdr:sp>
    <xdr:clientData/>
  </xdr:twoCellAnchor>
  <xdr:twoCellAnchor>
    <xdr:from>
      <xdr:col>2</xdr:col>
      <xdr:colOff>9525</xdr:colOff>
      <xdr:row>24</xdr:row>
      <xdr:rowOff>0</xdr:rowOff>
    </xdr:from>
    <xdr:to>
      <xdr:col>2</xdr:col>
      <xdr:colOff>666750</xdr:colOff>
      <xdr:row>25</xdr:row>
      <xdr:rowOff>200025</xdr:rowOff>
    </xdr:to>
    <xdr:sp macro="" textlink="">
      <xdr:nvSpPr>
        <xdr:cNvPr id="3076" name="Line 4"/>
        <xdr:cNvSpPr>
          <a:spLocks noChangeShapeType="1"/>
        </xdr:cNvSpPr>
      </xdr:nvSpPr>
      <xdr:spPr bwMode="auto">
        <a:xfrm>
          <a:off x="819150" y="5514975"/>
          <a:ext cx="657225" cy="419100"/>
        </a:xfrm>
        <a:prstGeom prst="line">
          <a:avLst/>
        </a:prstGeom>
        <a:noFill/>
        <a:ln w="9525">
          <a:solidFill>
            <a:srgbClr val="000000"/>
          </a:solidFill>
          <a:round/>
          <a:headEnd/>
          <a:tailEnd/>
        </a:ln>
      </xdr:spPr>
    </xdr:sp>
    <xdr:clientData/>
  </xdr:twoCellAnchor>
  <xdr:twoCellAnchor>
    <xdr:from>
      <xdr:col>2</xdr:col>
      <xdr:colOff>9525</xdr:colOff>
      <xdr:row>31</xdr:row>
      <xdr:rowOff>0</xdr:rowOff>
    </xdr:from>
    <xdr:to>
      <xdr:col>2</xdr:col>
      <xdr:colOff>666750</xdr:colOff>
      <xdr:row>32</xdr:row>
      <xdr:rowOff>200025</xdr:rowOff>
    </xdr:to>
    <xdr:sp macro="" textlink="">
      <xdr:nvSpPr>
        <xdr:cNvPr id="3077" name="Line 6"/>
        <xdr:cNvSpPr>
          <a:spLocks noChangeShapeType="1"/>
        </xdr:cNvSpPr>
      </xdr:nvSpPr>
      <xdr:spPr bwMode="auto">
        <a:xfrm>
          <a:off x="819150" y="7048500"/>
          <a:ext cx="657225" cy="419100"/>
        </a:xfrm>
        <a:prstGeom prst="line">
          <a:avLst/>
        </a:prstGeom>
        <a:noFill/>
        <a:ln w="9525">
          <a:solidFill>
            <a:srgbClr val="000000"/>
          </a:solidFill>
          <a:round/>
          <a:headEnd/>
          <a:tailEnd/>
        </a:ln>
      </xdr:spPr>
    </xdr:sp>
    <xdr:clientData/>
  </xdr:twoCellAnchor>
  <xdr:twoCellAnchor>
    <xdr:from>
      <xdr:col>2</xdr:col>
      <xdr:colOff>9525</xdr:colOff>
      <xdr:row>38</xdr:row>
      <xdr:rowOff>0</xdr:rowOff>
    </xdr:from>
    <xdr:to>
      <xdr:col>2</xdr:col>
      <xdr:colOff>666750</xdr:colOff>
      <xdr:row>39</xdr:row>
      <xdr:rowOff>200025</xdr:rowOff>
    </xdr:to>
    <xdr:sp macro="" textlink="">
      <xdr:nvSpPr>
        <xdr:cNvPr id="3078" name="Line 7"/>
        <xdr:cNvSpPr>
          <a:spLocks noChangeShapeType="1"/>
        </xdr:cNvSpPr>
      </xdr:nvSpPr>
      <xdr:spPr bwMode="auto">
        <a:xfrm>
          <a:off x="819150" y="8582025"/>
          <a:ext cx="657225" cy="419100"/>
        </a:xfrm>
        <a:prstGeom prst="line">
          <a:avLst/>
        </a:prstGeom>
        <a:noFill/>
        <a:ln w="9525">
          <a:solidFill>
            <a:srgbClr val="000000"/>
          </a:solidFill>
          <a:round/>
          <a:headEnd/>
          <a:tailEnd/>
        </a:ln>
      </xdr:spPr>
    </xdr:sp>
    <xdr:clientData/>
  </xdr:twoCellAnchor>
  <xdr:twoCellAnchor>
    <xdr:from>
      <xdr:col>2</xdr:col>
      <xdr:colOff>9525</xdr:colOff>
      <xdr:row>45</xdr:row>
      <xdr:rowOff>0</xdr:rowOff>
    </xdr:from>
    <xdr:to>
      <xdr:col>2</xdr:col>
      <xdr:colOff>666750</xdr:colOff>
      <xdr:row>46</xdr:row>
      <xdr:rowOff>200025</xdr:rowOff>
    </xdr:to>
    <xdr:sp macro="" textlink="">
      <xdr:nvSpPr>
        <xdr:cNvPr id="3079" name="Line 8"/>
        <xdr:cNvSpPr>
          <a:spLocks noChangeShapeType="1"/>
        </xdr:cNvSpPr>
      </xdr:nvSpPr>
      <xdr:spPr bwMode="auto">
        <a:xfrm>
          <a:off x="819150" y="10115550"/>
          <a:ext cx="657225" cy="419100"/>
        </a:xfrm>
        <a:prstGeom prst="line">
          <a:avLst/>
        </a:prstGeom>
        <a:noFill/>
        <a:ln w="9525">
          <a:solidFill>
            <a:srgbClr val="000000"/>
          </a:solidFill>
          <a:round/>
          <a:headEnd/>
          <a:tailEnd/>
        </a:ln>
      </xdr:spPr>
    </xdr:sp>
    <xdr:clientData/>
  </xdr:twoCellAnchor>
  <xdr:twoCellAnchor>
    <xdr:from>
      <xdr:col>2</xdr:col>
      <xdr:colOff>9525</xdr:colOff>
      <xdr:row>52</xdr:row>
      <xdr:rowOff>0</xdr:rowOff>
    </xdr:from>
    <xdr:to>
      <xdr:col>2</xdr:col>
      <xdr:colOff>666750</xdr:colOff>
      <xdr:row>53</xdr:row>
      <xdr:rowOff>200025</xdr:rowOff>
    </xdr:to>
    <xdr:sp macro="" textlink="">
      <xdr:nvSpPr>
        <xdr:cNvPr id="3080" name="Line 9"/>
        <xdr:cNvSpPr>
          <a:spLocks noChangeShapeType="1"/>
        </xdr:cNvSpPr>
      </xdr:nvSpPr>
      <xdr:spPr bwMode="auto">
        <a:xfrm>
          <a:off x="819150" y="11649075"/>
          <a:ext cx="657225" cy="419100"/>
        </a:xfrm>
        <a:prstGeom prst="line">
          <a:avLst/>
        </a:prstGeom>
        <a:noFill/>
        <a:ln w="9525">
          <a:solidFill>
            <a:srgbClr val="000000"/>
          </a:solidFill>
          <a:round/>
          <a:headEnd/>
          <a:tailEnd/>
        </a:ln>
      </xdr:spPr>
    </xdr:sp>
    <xdr:clientData/>
  </xdr:twoCellAnchor>
  <xdr:twoCellAnchor>
    <xdr:from>
      <xdr:col>2</xdr:col>
      <xdr:colOff>9525</xdr:colOff>
      <xdr:row>59</xdr:row>
      <xdr:rowOff>0</xdr:rowOff>
    </xdr:from>
    <xdr:to>
      <xdr:col>2</xdr:col>
      <xdr:colOff>666750</xdr:colOff>
      <xdr:row>60</xdr:row>
      <xdr:rowOff>200025</xdr:rowOff>
    </xdr:to>
    <xdr:sp macro="" textlink="">
      <xdr:nvSpPr>
        <xdr:cNvPr id="3081" name="Line 10"/>
        <xdr:cNvSpPr>
          <a:spLocks noChangeShapeType="1"/>
        </xdr:cNvSpPr>
      </xdr:nvSpPr>
      <xdr:spPr bwMode="auto">
        <a:xfrm>
          <a:off x="819150" y="13182600"/>
          <a:ext cx="657225" cy="419100"/>
        </a:xfrm>
        <a:prstGeom prst="line">
          <a:avLst/>
        </a:prstGeom>
        <a:noFill/>
        <a:ln w="9525">
          <a:solidFill>
            <a:srgbClr val="000000"/>
          </a:solidFill>
          <a:round/>
          <a:headEnd/>
          <a:tailEnd/>
        </a:ln>
      </xdr:spPr>
    </xdr:sp>
    <xdr:clientData/>
  </xdr:twoCellAnchor>
  <xdr:twoCellAnchor>
    <xdr:from>
      <xdr:col>2</xdr:col>
      <xdr:colOff>9525</xdr:colOff>
      <xdr:row>66</xdr:row>
      <xdr:rowOff>0</xdr:rowOff>
    </xdr:from>
    <xdr:to>
      <xdr:col>2</xdr:col>
      <xdr:colOff>666750</xdr:colOff>
      <xdr:row>67</xdr:row>
      <xdr:rowOff>200025</xdr:rowOff>
    </xdr:to>
    <xdr:sp macro="" textlink="">
      <xdr:nvSpPr>
        <xdr:cNvPr id="3082" name="Line 11"/>
        <xdr:cNvSpPr>
          <a:spLocks noChangeShapeType="1"/>
        </xdr:cNvSpPr>
      </xdr:nvSpPr>
      <xdr:spPr bwMode="auto">
        <a:xfrm>
          <a:off x="819150" y="14716125"/>
          <a:ext cx="657225" cy="419100"/>
        </a:xfrm>
        <a:prstGeom prst="line">
          <a:avLst/>
        </a:prstGeom>
        <a:noFill/>
        <a:ln w="9525">
          <a:solidFill>
            <a:srgbClr val="000000"/>
          </a:solidFill>
          <a:round/>
          <a:headEnd/>
          <a:tailEnd/>
        </a:ln>
      </xdr:spPr>
    </xdr:sp>
    <xdr:clientData/>
  </xdr:twoCellAnchor>
  <xdr:twoCellAnchor>
    <xdr:from>
      <xdr:col>2</xdr:col>
      <xdr:colOff>9525</xdr:colOff>
      <xdr:row>73</xdr:row>
      <xdr:rowOff>0</xdr:rowOff>
    </xdr:from>
    <xdr:to>
      <xdr:col>2</xdr:col>
      <xdr:colOff>666750</xdr:colOff>
      <xdr:row>74</xdr:row>
      <xdr:rowOff>200025</xdr:rowOff>
    </xdr:to>
    <xdr:sp macro="" textlink="">
      <xdr:nvSpPr>
        <xdr:cNvPr id="3083" name="Line 12"/>
        <xdr:cNvSpPr>
          <a:spLocks noChangeShapeType="1"/>
        </xdr:cNvSpPr>
      </xdr:nvSpPr>
      <xdr:spPr bwMode="auto">
        <a:xfrm>
          <a:off x="819150" y="16249650"/>
          <a:ext cx="657225" cy="419100"/>
        </a:xfrm>
        <a:prstGeom prst="line">
          <a:avLst/>
        </a:prstGeom>
        <a:noFill/>
        <a:ln w="9525">
          <a:solidFill>
            <a:srgbClr val="000000"/>
          </a:solidFill>
          <a:round/>
          <a:headEnd/>
          <a:tailEnd/>
        </a:ln>
      </xdr:spPr>
    </xdr:sp>
    <xdr:clientData/>
  </xdr:twoCellAnchor>
  <xdr:twoCellAnchor>
    <xdr:from>
      <xdr:col>2</xdr:col>
      <xdr:colOff>9525</xdr:colOff>
      <xdr:row>80</xdr:row>
      <xdr:rowOff>0</xdr:rowOff>
    </xdr:from>
    <xdr:to>
      <xdr:col>2</xdr:col>
      <xdr:colOff>666750</xdr:colOff>
      <xdr:row>81</xdr:row>
      <xdr:rowOff>200025</xdr:rowOff>
    </xdr:to>
    <xdr:sp macro="" textlink="">
      <xdr:nvSpPr>
        <xdr:cNvPr id="3084" name="Line 13"/>
        <xdr:cNvSpPr>
          <a:spLocks noChangeShapeType="1"/>
        </xdr:cNvSpPr>
      </xdr:nvSpPr>
      <xdr:spPr bwMode="auto">
        <a:xfrm>
          <a:off x="819150" y="17783175"/>
          <a:ext cx="657225" cy="419100"/>
        </a:xfrm>
        <a:prstGeom prst="line">
          <a:avLst/>
        </a:prstGeom>
        <a:noFill/>
        <a:ln w="9525">
          <a:solidFill>
            <a:srgbClr val="000000"/>
          </a:solidFill>
          <a:round/>
          <a:headEnd/>
          <a:tailEnd/>
        </a:ln>
      </xdr:spPr>
    </xdr:sp>
    <xdr:clientData/>
  </xdr:twoCellAnchor>
  <xdr:twoCellAnchor>
    <xdr:from>
      <xdr:col>2</xdr:col>
      <xdr:colOff>9525</xdr:colOff>
      <xdr:row>87</xdr:row>
      <xdr:rowOff>0</xdr:rowOff>
    </xdr:from>
    <xdr:to>
      <xdr:col>2</xdr:col>
      <xdr:colOff>666750</xdr:colOff>
      <xdr:row>88</xdr:row>
      <xdr:rowOff>200025</xdr:rowOff>
    </xdr:to>
    <xdr:sp macro="" textlink="">
      <xdr:nvSpPr>
        <xdr:cNvPr id="3085" name="Line 14"/>
        <xdr:cNvSpPr>
          <a:spLocks noChangeShapeType="1"/>
        </xdr:cNvSpPr>
      </xdr:nvSpPr>
      <xdr:spPr bwMode="auto">
        <a:xfrm>
          <a:off x="819150" y="19316700"/>
          <a:ext cx="657225" cy="476250"/>
        </a:xfrm>
        <a:prstGeom prst="line">
          <a:avLst/>
        </a:prstGeom>
        <a:noFill/>
        <a:ln w="9525">
          <a:solidFill>
            <a:srgbClr val="000000"/>
          </a:solidFill>
          <a:round/>
          <a:headEnd/>
          <a:tailEnd/>
        </a:ln>
      </xdr:spPr>
    </xdr:sp>
    <xdr:clientData/>
  </xdr:twoCellAnchor>
  <xdr:twoCellAnchor>
    <xdr:from>
      <xdr:col>2</xdr:col>
      <xdr:colOff>9525</xdr:colOff>
      <xdr:row>94</xdr:row>
      <xdr:rowOff>0</xdr:rowOff>
    </xdr:from>
    <xdr:to>
      <xdr:col>2</xdr:col>
      <xdr:colOff>666750</xdr:colOff>
      <xdr:row>95</xdr:row>
      <xdr:rowOff>200025</xdr:rowOff>
    </xdr:to>
    <xdr:sp macro="" textlink="">
      <xdr:nvSpPr>
        <xdr:cNvPr id="3086" name="Line 15"/>
        <xdr:cNvSpPr>
          <a:spLocks noChangeShapeType="1"/>
        </xdr:cNvSpPr>
      </xdr:nvSpPr>
      <xdr:spPr bwMode="auto">
        <a:xfrm>
          <a:off x="819150" y="21250275"/>
          <a:ext cx="657225" cy="476250"/>
        </a:xfrm>
        <a:prstGeom prst="line">
          <a:avLst/>
        </a:prstGeom>
        <a:noFill/>
        <a:ln w="9525">
          <a:solidFill>
            <a:srgbClr val="000000"/>
          </a:solidFill>
          <a:round/>
          <a:headEnd/>
          <a:tailEnd/>
        </a:ln>
      </xdr:spPr>
    </xdr:sp>
    <xdr:clientData/>
  </xdr:twoCellAnchor>
  <xdr:twoCellAnchor>
    <xdr:from>
      <xdr:col>2</xdr:col>
      <xdr:colOff>9525</xdr:colOff>
      <xdr:row>101</xdr:row>
      <xdr:rowOff>0</xdr:rowOff>
    </xdr:from>
    <xdr:to>
      <xdr:col>2</xdr:col>
      <xdr:colOff>666750</xdr:colOff>
      <xdr:row>102</xdr:row>
      <xdr:rowOff>200025</xdr:rowOff>
    </xdr:to>
    <xdr:sp macro="" textlink="">
      <xdr:nvSpPr>
        <xdr:cNvPr id="3087" name="Line 16"/>
        <xdr:cNvSpPr>
          <a:spLocks noChangeShapeType="1"/>
        </xdr:cNvSpPr>
      </xdr:nvSpPr>
      <xdr:spPr bwMode="auto">
        <a:xfrm>
          <a:off x="819150" y="23183850"/>
          <a:ext cx="657225" cy="419100"/>
        </a:xfrm>
        <a:prstGeom prst="line">
          <a:avLst/>
        </a:prstGeom>
        <a:noFill/>
        <a:ln w="9525">
          <a:solidFill>
            <a:srgbClr val="000000"/>
          </a:solidFill>
          <a:round/>
          <a:headEnd/>
          <a:tailEnd/>
        </a:ln>
      </xdr:spPr>
    </xdr:sp>
    <xdr:clientData/>
  </xdr:twoCellAnchor>
  <xdr:twoCellAnchor>
    <xdr:from>
      <xdr:col>2</xdr:col>
      <xdr:colOff>9525</xdr:colOff>
      <xdr:row>108</xdr:row>
      <xdr:rowOff>0</xdr:rowOff>
    </xdr:from>
    <xdr:to>
      <xdr:col>2</xdr:col>
      <xdr:colOff>666750</xdr:colOff>
      <xdr:row>109</xdr:row>
      <xdr:rowOff>200025</xdr:rowOff>
    </xdr:to>
    <xdr:sp macro="" textlink="">
      <xdr:nvSpPr>
        <xdr:cNvPr id="3088" name="Line 17"/>
        <xdr:cNvSpPr>
          <a:spLocks noChangeShapeType="1"/>
        </xdr:cNvSpPr>
      </xdr:nvSpPr>
      <xdr:spPr bwMode="auto">
        <a:xfrm>
          <a:off x="819150" y="24717375"/>
          <a:ext cx="657225" cy="504825"/>
        </a:xfrm>
        <a:prstGeom prst="line">
          <a:avLst/>
        </a:prstGeom>
        <a:noFill/>
        <a:ln w="9525">
          <a:solidFill>
            <a:srgbClr val="000000"/>
          </a:solidFill>
          <a:round/>
          <a:headEnd/>
          <a:tailEnd/>
        </a:ln>
      </xdr:spPr>
    </xdr:sp>
    <xdr:clientData/>
  </xdr:twoCellAnchor>
  <xdr:twoCellAnchor>
    <xdr:from>
      <xdr:col>2</xdr:col>
      <xdr:colOff>9525</xdr:colOff>
      <xdr:row>115</xdr:row>
      <xdr:rowOff>0</xdr:rowOff>
    </xdr:from>
    <xdr:to>
      <xdr:col>2</xdr:col>
      <xdr:colOff>666750</xdr:colOff>
      <xdr:row>116</xdr:row>
      <xdr:rowOff>200025</xdr:rowOff>
    </xdr:to>
    <xdr:sp macro="" textlink="">
      <xdr:nvSpPr>
        <xdr:cNvPr id="3089" name="Line 18"/>
        <xdr:cNvSpPr>
          <a:spLocks noChangeShapeType="1"/>
        </xdr:cNvSpPr>
      </xdr:nvSpPr>
      <xdr:spPr bwMode="auto">
        <a:xfrm>
          <a:off x="819150" y="26927175"/>
          <a:ext cx="657225" cy="419100"/>
        </a:xfrm>
        <a:prstGeom prst="line">
          <a:avLst/>
        </a:prstGeom>
        <a:noFill/>
        <a:ln w="9525">
          <a:solidFill>
            <a:srgbClr val="000000"/>
          </a:solidFill>
          <a:round/>
          <a:headEnd/>
          <a:tailEnd/>
        </a:ln>
      </xdr:spPr>
    </xdr:sp>
    <xdr:clientData/>
  </xdr:twoCellAnchor>
  <xdr:twoCellAnchor>
    <xdr:from>
      <xdr:col>2</xdr:col>
      <xdr:colOff>9525</xdr:colOff>
      <xdr:row>122</xdr:row>
      <xdr:rowOff>0</xdr:rowOff>
    </xdr:from>
    <xdr:to>
      <xdr:col>2</xdr:col>
      <xdr:colOff>666750</xdr:colOff>
      <xdr:row>123</xdr:row>
      <xdr:rowOff>200025</xdr:rowOff>
    </xdr:to>
    <xdr:sp macro="" textlink="">
      <xdr:nvSpPr>
        <xdr:cNvPr id="3090" name="Line 19"/>
        <xdr:cNvSpPr>
          <a:spLocks noChangeShapeType="1"/>
        </xdr:cNvSpPr>
      </xdr:nvSpPr>
      <xdr:spPr bwMode="auto">
        <a:xfrm>
          <a:off x="819150" y="28508325"/>
          <a:ext cx="657225" cy="419100"/>
        </a:xfrm>
        <a:prstGeom prst="line">
          <a:avLst/>
        </a:prstGeom>
        <a:noFill/>
        <a:ln w="9525">
          <a:solidFill>
            <a:srgbClr val="000000"/>
          </a:solidFill>
          <a:round/>
          <a:headEnd/>
          <a:tailEnd/>
        </a:ln>
      </xdr:spPr>
    </xdr:sp>
    <xdr:clientData/>
  </xdr:twoCellAnchor>
  <xdr:twoCellAnchor>
    <xdr:from>
      <xdr:col>2</xdr:col>
      <xdr:colOff>9525</xdr:colOff>
      <xdr:row>129</xdr:row>
      <xdr:rowOff>0</xdr:rowOff>
    </xdr:from>
    <xdr:to>
      <xdr:col>2</xdr:col>
      <xdr:colOff>666750</xdr:colOff>
      <xdr:row>130</xdr:row>
      <xdr:rowOff>200025</xdr:rowOff>
    </xdr:to>
    <xdr:sp macro="" textlink="">
      <xdr:nvSpPr>
        <xdr:cNvPr id="3091" name="Line 20"/>
        <xdr:cNvSpPr>
          <a:spLocks noChangeShapeType="1"/>
        </xdr:cNvSpPr>
      </xdr:nvSpPr>
      <xdr:spPr bwMode="auto">
        <a:xfrm>
          <a:off x="819150" y="30041850"/>
          <a:ext cx="657225" cy="419100"/>
        </a:xfrm>
        <a:prstGeom prst="line">
          <a:avLst/>
        </a:prstGeom>
        <a:noFill/>
        <a:ln w="9525">
          <a:solidFill>
            <a:srgbClr val="000000"/>
          </a:solidFill>
          <a:round/>
          <a:headEnd/>
          <a:tailEnd/>
        </a:ln>
      </xdr:spPr>
    </xdr:sp>
    <xdr:clientData/>
  </xdr:twoCellAnchor>
  <xdr:twoCellAnchor>
    <xdr:from>
      <xdr:col>2</xdr:col>
      <xdr:colOff>9525</xdr:colOff>
      <xdr:row>136</xdr:row>
      <xdr:rowOff>0</xdr:rowOff>
    </xdr:from>
    <xdr:to>
      <xdr:col>2</xdr:col>
      <xdr:colOff>666750</xdr:colOff>
      <xdr:row>137</xdr:row>
      <xdr:rowOff>200025</xdr:rowOff>
    </xdr:to>
    <xdr:sp macro="" textlink="">
      <xdr:nvSpPr>
        <xdr:cNvPr id="3092" name="Line 21"/>
        <xdr:cNvSpPr>
          <a:spLocks noChangeShapeType="1"/>
        </xdr:cNvSpPr>
      </xdr:nvSpPr>
      <xdr:spPr bwMode="auto">
        <a:xfrm>
          <a:off x="819150" y="3157537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2"/>
  <sheetViews>
    <sheetView tabSelected="1" view="pageBreakPreview" zoomScale="60" zoomScaleNormal="100" workbookViewId="0">
      <selection activeCell="R15" sqref="R15"/>
    </sheetView>
  </sheetViews>
  <sheetFormatPr defaultColWidth="9" defaultRowHeight="16.2" x14ac:dyDescent="0.3"/>
  <cols>
    <col min="1" max="1" width="5.109375" style="1" customWidth="1"/>
    <col min="2" max="2" width="5.44140625" style="23" customWidth="1"/>
    <col min="3" max="3" width="9" style="2"/>
    <col min="4" max="5" width="6.33203125" style="2" customWidth="1"/>
    <col min="6" max="8" width="5.77734375" style="2" customWidth="1"/>
    <col min="9" max="9" width="40.88671875" style="2" customWidth="1"/>
    <col min="10" max="16384" width="9" style="23"/>
  </cols>
  <sheetData>
    <row r="1" spans="1:9" ht="37.5" customHeight="1" thickBot="1" x14ac:dyDescent="0.35">
      <c r="A1" s="53" t="s">
        <v>168</v>
      </c>
      <c r="B1" s="54"/>
      <c r="C1" s="54"/>
      <c r="D1" s="54"/>
      <c r="E1" s="54"/>
      <c r="F1" s="54"/>
      <c r="G1" s="54"/>
      <c r="H1" s="54"/>
      <c r="I1" s="54"/>
    </row>
    <row r="2" spans="1:9" ht="17.25" customHeight="1" thickTop="1" x14ac:dyDescent="0.3">
      <c r="A2" s="73" t="s">
        <v>0</v>
      </c>
      <c r="B2" s="75" t="s">
        <v>1</v>
      </c>
      <c r="C2" s="77" t="s">
        <v>2</v>
      </c>
      <c r="D2" s="78"/>
      <c r="E2" s="78"/>
      <c r="F2" s="78"/>
      <c r="G2" s="78"/>
      <c r="H2" s="79"/>
      <c r="I2" s="82" t="s">
        <v>4</v>
      </c>
    </row>
    <row r="3" spans="1:9" ht="17.25" customHeight="1" thickBot="1" x14ac:dyDescent="0.35">
      <c r="A3" s="74"/>
      <c r="B3" s="76"/>
      <c r="C3" s="76" t="s">
        <v>3</v>
      </c>
      <c r="D3" s="84"/>
      <c r="E3" s="84"/>
      <c r="F3" s="84"/>
      <c r="G3" s="84"/>
      <c r="H3" s="85"/>
      <c r="I3" s="83"/>
    </row>
    <row r="4" spans="1:9" ht="17.25" customHeight="1" x14ac:dyDescent="0.3">
      <c r="A4" s="72" t="s">
        <v>5</v>
      </c>
      <c r="B4" s="7" t="s">
        <v>76</v>
      </c>
      <c r="C4" s="10" t="s">
        <v>34</v>
      </c>
      <c r="D4" s="47" t="s">
        <v>6</v>
      </c>
      <c r="E4" s="45" t="s">
        <v>7</v>
      </c>
      <c r="F4" s="45" t="s">
        <v>8</v>
      </c>
      <c r="G4" s="45" t="s">
        <v>9</v>
      </c>
      <c r="H4" s="80" t="s">
        <v>10</v>
      </c>
      <c r="I4" s="15" t="s">
        <v>42</v>
      </c>
    </row>
    <row r="5" spans="1:9" ht="17.25" customHeight="1" x14ac:dyDescent="0.3">
      <c r="A5" s="55"/>
      <c r="B5" s="8" t="s">
        <v>35</v>
      </c>
      <c r="C5" s="11" t="s">
        <v>33</v>
      </c>
      <c r="D5" s="48"/>
      <c r="E5" s="46"/>
      <c r="F5" s="46"/>
      <c r="G5" s="46"/>
      <c r="H5" s="81"/>
      <c r="I5" s="4" t="s">
        <v>56</v>
      </c>
    </row>
    <row r="6" spans="1:9" ht="17.25" customHeight="1" x14ac:dyDescent="0.3">
      <c r="A6" s="55"/>
      <c r="B6" s="8"/>
      <c r="C6" s="12" t="s">
        <v>6</v>
      </c>
      <c r="D6" s="28">
        <v>0</v>
      </c>
      <c r="E6" s="29">
        <f>D6+$B$10/4</f>
        <v>1.25</v>
      </c>
      <c r="F6" s="29">
        <f>E6+$B$10/4</f>
        <v>2.5</v>
      </c>
      <c r="G6" s="29">
        <f>F6+$B$10/4</f>
        <v>3.75</v>
      </c>
      <c r="H6" s="30">
        <f>G6+$B$10/4</f>
        <v>5</v>
      </c>
      <c r="I6" s="4" t="s">
        <v>57</v>
      </c>
    </row>
    <row r="7" spans="1:9" ht="17.25" customHeight="1" x14ac:dyDescent="0.3">
      <c r="A7" s="55"/>
      <c r="B7" s="8"/>
      <c r="C7" s="13" t="s">
        <v>7</v>
      </c>
      <c r="D7" s="29">
        <f>D6-$B$10/4</f>
        <v>-1.25</v>
      </c>
      <c r="E7" s="28">
        <f>D6</f>
        <v>0</v>
      </c>
      <c r="F7" s="29">
        <f>F6-$B$10/4</f>
        <v>1.25</v>
      </c>
      <c r="G7" s="29">
        <f>G6-$B$10/4</f>
        <v>2.5</v>
      </c>
      <c r="H7" s="30">
        <f>H6-$B$10/4</f>
        <v>3.75</v>
      </c>
      <c r="I7" s="4" t="s">
        <v>58</v>
      </c>
    </row>
    <row r="8" spans="1:9" ht="17.25" customHeight="1" x14ac:dyDescent="0.3">
      <c r="A8" s="55"/>
      <c r="B8" s="8"/>
      <c r="C8" s="13" t="s">
        <v>8</v>
      </c>
      <c r="D8" s="29">
        <f>D7-$B$10/4</f>
        <v>-2.5</v>
      </c>
      <c r="E8" s="29">
        <f>E7-$B$10/4</f>
        <v>-1.25</v>
      </c>
      <c r="F8" s="28">
        <f>D6</f>
        <v>0</v>
      </c>
      <c r="G8" s="29">
        <f>G7-$B$10/4</f>
        <v>1.25</v>
      </c>
      <c r="H8" s="30">
        <f>H7-$B$10/4</f>
        <v>2.5</v>
      </c>
      <c r="I8" s="4" t="s">
        <v>77</v>
      </c>
    </row>
    <row r="9" spans="1:9" ht="17.25" customHeight="1" x14ac:dyDescent="0.3">
      <c r="A9" s="55"/>
      <c r="B9" s="8"/>
      <c r="C9" s="13" t="s">
        <v>9</v>
      </c>
      <c r="D9" s="29">
        <f>D8-$B$10/4</f>
        <v>-3.75</v>
      </c>
      <c r="E9" s="29">
        <f>E8-$B$10/4</f>
        <v>-2.5</v>
      </c>
      <c r="F9" s="29">
        <f>F8-$B$10/4</f>
        <v>-1.25</v>
      </c>
      <c r="G9" s="28">
        <f>D6</f>
        <v>0</v>
      </c>
      <c r="H9" s="30">
        <f>H8-$B$10/4</f>
        <v>1.25</v>
      </c>
      <c r="I9" s="4" t="s">
        <v>78</v>
      </c>
    </row>
    <row r="10" spans="1:9" ht="17.25" customHeight="1" thickBot="1" x14ac:dyDescent="0.35">
      <c r="A10" s="55"/>
      <c r="B10" s="9">
        <v>5</v>
      </c>
      <c r="C10" s="14" t="s">
        <v>10</v>
      </c>
      <c r="D10" s="31">
        <f>D9-$B$10/4</f>
        <v>-5</v>
      </c>
      <c r="E10" s="31">
        <f>E9-$B$10/4</f>
        <v>-3.75</v>
      </c>
      <c r="F10" s="31">
        <f>F9-$B$10/4</f>
        <v>-2.5</v>
      </c>
      <c r="G10" s="31">
        <f>G9-$B$10/4</f>
        <v>-1.25</v>
      </c>
      <c r="H10" s="32">
        <f>D6</f>
        <v>0</v>
      </c>
      <c r="I10" s="16"/>
    </row>
    <row r="11" spans="1:9" ht="17.25" customHeight="1" x14ac:dyDescent="0.3">
      <c r="A11" s="55"/>
      <c r="B11" s="8" t="s">
        <v>79</v>
      </c>
      <c r="C11" s="10" t="s">
        <v>34</v>
      </c>
      <c r="D11" s="47" t="s">
        <v>6</v>
      </c>
      <c r="E11" s="45" t="s">
        <v>7</v>
      </c>
      <c r="F11" s="45" t="s">
        <v>8</v>
      </c>
      <c r="G11" s="45" t="s">
        <v>9</v>
      </c>
      <c r="H11" s="80" t="s">
        <v>10</v>
      </c>
      <c r="I11" s="15" t="s">
        <v>43</v>
      </c>
    </row>
    <row r="12" spans="1:9" ht="17.25" customHeight="1" x14ac:dyDescent="0.3">
      <c r="A12" s="55"/>
      <c r="B12" s="8" t="s">
        <v>80</v>
      </c>
      <c r="C12" s="11" t="s">
        <v>33</v>
      </c>
      <c r="D12" s="48"/>
      <c r="E12" s="46"/>
      <c r="F12" s="46"/>
      <c r="G12" s="46"/>
      <c r="H12" s="81"/>
      <c r="I12" s="4" t="s">
        <v>81</v>
      </c>
    </row>
    <row r="13" spans="1:9" ht="17.25" customHeight="1" x14ac:dyDescent="0.3">
      <c r="A13" s="55"/>
      <c r="B13" s="8"/>
      <c r="C13" s="12" t="s">
        <v>6</v>
      </c>
      <c r="D13" s="28">
        <v>0</v>
      </c>
      <c r="E13" s="28">
        <f>D13+$B$17/4</f>
        <v>2</v>
      </c>
      <c r="F13" s="28">
        <f>E13+$B$17/4</f>
        <v>4</v>
      </c>
      <c r="G13" s="28">
        <f>F13+$B$17/4</f>
        <v>6</v>
      </c>
      <c r="H13" s="28">
        <f>G13+$B$17/4</f>
        <v>8</v>
      </c>
      <c r="I13" s="4" t="s">
        <v>82</v>
      </c>
    </row>
    <row r="14" spans="1:9" ht="17.25" customHeight="1" x14ac:dyDescent="0.3">
      <c r="A14" s="55"/>
      <c r="B14" s="8"/>
      <c r="C14" s="13" t="s">
        <v>7</v>
      </c>
      <c r="D14" s="28">
        <f>D13-$B$17/4</f>
        <v>-2</v>
      </c>
      <c r="E14" s="28">
        <f>D13</f>
        <v>0</v>
      </c>
      <c r="F14" s="28">
        <f>F13-$B$17/4</f>
        <v>2</v>
      </c>
      <c r="G14" s="28">
        <f>G13-$B$17/4</f>
        <v>4</v>
      </c>
      <c r="H14" s="28">
        <f>H13-$B$17/4</f>
        <v>6</v>
      </c>
      <c r="I14" s="4" t="s">
        <v>83</v>
      </c>
    </row>
    <row r="15" spans="1:9" ht="17.25" customHeight="1" x14ac:dyDescent="0.3">
      <c r="A15" s="55"/>
      <c r="B15" s="8"/>
      <c r="C15" s="13" t="s">
        <v>8</v>
      </c>
      <c r="D15" s="28">
        <f>D14-$B$17/4</f>
        <v>-4</v>
      </c>
      <c r="E15" s="28">
        <f>E14-$B$17/4</f>
        <v>-2</v>
      </c>
      <c r="F15" s="28">
        <f>D13</f>
        <v>0</v>
      </c>
      <c r="G15" s="28">
        <f>G14-$B$17/4</f>
        <v>2</v>
      </c>
      <c r="H15" s="28">
        <f>H14-$B$17/4</f>
        <v>4</v>
      </c>
      <c r="I15" s="4" t="s">
        <v>84</v>
      </c>
    </row>
    <row r="16" spans="1:9" ht="17.25" customHeight="1" x14ac:dyDescent="0.3">
      <c r="A16" s="55"/>
      <c r="B16" s="8"/>
      <c r="C16" s="13" t="s">
        <v>9</v>
      </c>
      <c r="D16" s="28">
        <f>D15-$B$17/4</f>
        <v>-6</v>
      </c>
      <c r="E16" s="28">
        <f>E15-$B$17/4</f>
        <v>-4</v>
      </c>
      <c r="F16" s="28">
        <f>F15-$B$17/4</f>
        <v>-2</v>
      </c>
      <c r="G16" s="28">
        <f>F15</f>
        <v>0</v>
      </c>
      <c r="H16" s="28">
        <f>H15-$B$17/4</f>
        <v>2</v>
      </c>
      <c r="I16" s="4" t="s">
        <v>85</v>
      </c>
    </row>
    <row r="17" spans="1:9" ht="17.25" customHeight="1" thickBot="1" x14ac:dyDescent="0.35">
      <c r="A17" s="55"/>
      <c r="B17" s="9">
        <v>8</v>
      </c>
      <c r="C17" s="14" t="s">
        <v>10</v>
      </c>
      <c r="D17" s="28">
        <f>D16-$B$17/4</f>
        <v>-8</v>
      </c>
      <c r="E17" s="28">
        <f>E16-$B$17/4</f>
        <v>-6</v>
      </c>
      <c r="F17" s="28">
        <f>F16-$B$17/4</f>
        <v>-4</v>
      </c>
      <c r="G17" s="28">
        <f>G16-$B$17/4</f>
        <v>-2</v>
      </c>
      <c r="H17" s="28">
        <f>F15</f>
        <v>0</v>
      </c>
      <c r="I17" s="16"/>
    </row>
    <row r="18" spans="1:9" ht="17.25" customHeight="1" x14ac:dyDescent="0.3">
      <c r="A18" s="55"/>
      <c r="B18" s="7" t="s">
        <v>86</v>
      </c>
      <c r="C18" s="10" t="s">
        <v>34</v>
      </c>
      <c r="D18" s="45" t="s">
        <v>6</v>
      </c>
      <c r="E18" s="45" t="s">
        <v>40</v>
      </c>
      <c r="F18" s="45" t="s">
        <v>39</v>
      </c>
      <c r="G18" s="45"/>
      <c r="H18" s="51"/>
      <c r="I18" s="15" t="s">
        <v>44</v>
      </c>
    </row>
    <row r="19" spans="1:9" ht="17.25" customHeight="1" x14ac:dyDescent="0.3">
      <c r="A19" s="55"/>
      <c r="B19" s="8" t="s">
        <v>80</v>
      </c>
      <c r="C19" s="11" t="s">
        <v>33</v>
      </c>
      <c r="D19" s="46"/>
      <c r="E19" s="46"/>
      <c r="F19" s="46"/>
      <c r="G19" s="46"/>
      <c r="H19" s="52"/>
      <c r="I19" s="4" t="s">
        <v>60</v>
      </c>
    </row>
    <row r="20" spans="1:9" ht="17.25" customHeight="1" x14ac:dyDescent="0.3">
      <c r="A20" s="55"/>
      <c r="B20" s="8"/>
      <c r="C20" s="13" t="s">
        <v>6</v>
      </c>
      <c r="D20" s="28">
        <v>0</v>
      </c>
      <c r="E20" s="33">
        <f>D20+$B$24/2</f>
        <v>1.5</v>
      </c>
      <c r="F20" s="33">
        <f>E20+$B$24/2</f>
        <v>3</v>
      </c>
      <c r="G20" s="29"/>
      <c r="H20" s="34"/>
      <c r="I20" s="4" t="s">
        <v>87</v>
      </c>
    </row>
    <row r="21" spans="1:9" ht="17.25" customHeight="1" x14ac:dyDescent="0.3">
      <c r="A21" s="55"/>
      <c r="B21" s="8"/>
      <c r="C21" s="13" t="s">
        <v>40</v>
      </c>
      <c r="D21" s="33">
        <f>D20-$B$24/2</f>
        <v>-1.5</v>
      </c>
      <c r="E21" s="28">
        <f>D20</f>
        <v>0</v>
      </c>
      <c r="F21" s="33">
        <f>F20-$B$24/2</f>
        <v>1.5</v>
      </c>
      <c r="G21" s="29"/>
      <c r="H21" s="35"/>
      <c r="I21" s="5" t="s">
        <v>88</v>
      </c>
    </row>
    <row r="22" spans="1:9" ht="17.25" customHeight="1" x14ac:dyDescent="0.3">
      <c r="A22" s="55"/>
      <c r="B22" s="8"/>
      <c r="C22" s="13" t="s">
        <v>39</v>
      </c>
      <c r="D22" s="33">
        <f>D21-$B$24/2</f>
        <v>-3</v>
      </c>
      <c r="E22" s="33">
        <f>E21-$B$24/2</f>
        <v>-1.5</v>
      </c>
      <c r="F22" s="28">
        <f>D20</f>
        <v>0</v>
      </c>
      <c r="G22" s="29"/>
      <c r="H22" s="35"/>
      <c r="I22" s="4"/>
    </row>
    <row r="23" spans="1:9" ht="17.25" customHeight="1" x14ac:dyDescent="0.3">
      <c r="A23" s="55"/>
      <c r="B23" s="8"/>
      <c r="C23" s="13"/>
      <c r="D23" s="29"/>
      <c r="E23" s="29"/>
      <c r="F23" s="29"/>
      <c r="G23" s="28"/>
      <c r="H23" s="35"/>
      <c r="I23" s="5"/>
    </row>
    <row r="24" spans="1:9" ht="17.25" customHeight="1" thickBot="1" x14ac:dyDescent="0.35">
      <c r="A24" s="55"/>
      <c r="B24" s="9">
        <v>3</v>
      </c>
      <c r="C24" s="14"/>
      <c r="D24" s="36"/>
      <c r="E24" s="31"/>
      <c r="F24" s="31"/>
      <c r="G24" s="31"/>
      <c r="H24" s="37"/>
      <c r="I24" s="16"/>
    </row>
    <row r="25" spans="1:9" ht="17.25" customHeight="1" x14ac:dyDescent="0.3">
      <c r="A25" s="55"/>
      <c r="B25" s="7" t="s">
        <v>89</v>
      </c>
      <c r="C25" s="10" t="s">
        <v>34</v>
      </c>
      <c r="D25" s="45" t="s">
        <v>6</v>
      </c>
      <c r="E25" s="45" t="s">
        <v>10</v>
      </c>
      <c r="F25" s="47"/>
      <c r="G25" s="45"/>
      <c r="H25" s="51"/>
      <c r="I25" s="86" t="s">
        <v>45</v>
      </c>
    </row>
    <row r="26" spans="1:9" ht="17.25" customHeight="1" x14ac:dyDescent="0.3">
      <c r="A26" s="55"/>
      <c r="B26" s="8" t="s">
        <v>90</v>
      </c>
      <c r="C26" s="11" t="s">
        <v>33</v>
      </c>
      <c r="D26" s="46"/>
      <c r="E26" s="46"/>
      <c r="F26" s="48"/>
      <c r="G26" s="46"/>
      <c r="H26" s="52"/>
      <c r="I26" s="58"/>
    </row>
    <row r="27" spans="1:9" ht="17.25" customHeight="1" x14ac:dyDescent="0.3">
      <c r="A27" s="55"/>
      <c r="B27" s="8"/>
      <c r="C27" s="13" t="s">
        <v>6</v>
      </c>
      <c r="D27" s="28">
        <v>0</v>
      </c>
      <c r="E27" s="28">
        <f>D27+$B$31</f>
        <v>4</v>
      </c>
      <c r="F27" s="38"/>
      <c r="G27" s="29"/>
      <c r="H27" s="34"/>
      <c r="I27" s="58"/>
    </row>
    <row r="28" spans="1:9" ht="17.25" customHeight="1" x14ac:dyDescent="0.3">
      <c r="A28" s="55"/>
      <c r="B28" s="8"/>
      <c r="C28" s="13" t="s">
        <v>10</v>
      </c>
      <c r="D28" s="28">
        <f>D27-$B$31</f>
        <v>-4</v>
      </c>
      <c r="E28" s="28">
        <f>D27</f>
        <v>0</v>
      </c>
      <c r="F28" s="29"/>
      <c r="G28" s="29"/>
      <c r="H28" s="35"/>
      <c r="I28" s="5" t="s">
        <v>46</v>
      </c>
    </row>
    <row r="29" spans="1:9" ht="17.25" customHeight="1" x14ac:dyDescent="0.3">
      <c r="A29" s="55"/>
      <c r="B29" s="8"/>
      <c r="C29" s="12"/>
      <c r="D29" s="39"/>
      <c r="E29" s="29"/>
      <c r="F29" s="28"/>
      <c r="G29" s="29"/>
      <c r="H29" s="35"/>
      <c r="I29" s="16"/>
    </row>
    <row r="30" spans="1:9" ht="17.25" customHeight="1" x14ac:dyDescent="0.3">
      <c r="A30" s="55"/>
      <c r="B30" s="8"/>
      <c r="C30" s="13"/>
      <c r="D30" s="29"/>
      <c r="E30" s="29"/>
      <c r="F30" s="29"/>
      <c r="G30" s="28"/>
      <c r="H30" s="35"/>
      <c r="I30" s="16"/>
    </row>
    <row r="31" spans="1:9" ht="17.25" customHeight="1" thickBot="1" x14ac:dyDescent="0.35">
      <c r="A31" s="55"/>
      <c r="B31" s="9">
        <v>4</v>
      </c>
      <c r="C31" s="14"/>
      <c r="D31" s="36"/>
      <c r="E31" s="31"/>
      <c r="F31" s="31"/>
      <c r="G31" s="31"/>
      <c r="H31" s="37"/>
      <c r="I31" s="16"/>
    </row>
    <row r="32" spans="1:9" ht="17.25" customHeight="1" x14ac:dyDescent="0.3">
      <c r="A32" s="55"/>
      <c r="B32" s="7" t="s">
        <v>91</v>
      </c>
      <c r="C32" s="10" t="s">
        <v>34</v>
      </c>
      <c r="D32" s="45" t="s">
        <v>6</v>
      </c>
      <c r="E32" s="45" t="s">
        <v>7</v>
      </c>
      <c r="F32" s="45" t="s">
        <v>8</v>
      </c>
      <c r="G32" s="45" t="s">
        <v>9</v>
      </c>
      <c r="H32" s="51" t="s">
        <v>10</v>
      </c>
      <c r="I32" s="3" t="s">
        <v>47</v>
      </c>
    </row>
    <row r="33" spans="1:9" ht="17.25" customHeight="1" x14ac:dyDescent="0.3">
      <c r="A33" s="55"/>
      <c r="B33" s="8" t="s">
        <v>92</v>
      </c>
      <c r="C33" s="11" t="s">
        <v>33</v>
      </c>
      <c r="D33" s="46"/>
      <c r="E33" s="46"/>
      <c r="F33" s="46"/>
      <c r="G33" s="46"/>
      <c r="H33" s="52"/>
      <c r="I33" s="5" t="s">
        <v>11</v>
      </c>
    </row>
    <row r="34" spans="1:9" ht="17.25" customHeight="1" x14ac:dyDescent="0.3">
      <c r="A34" s="55"/>
      <c r="B34" s="8" t="s">
        <v>93</v>
      </c>
      <c r="C34" s="13" t="s">
        <v>6</v>
      </c>
      <c r="D34" s="28">
        <v>0</v>
      </c>
      <c r="E34" s="28">
        <f>D34+$B$38/4</f>
        <v>5</v>
      </c>
      <c r="F34" s="28">
        <f>E34+$B$38/4</f>
        <v>10</v>
      </c>
      <c r="G34" s="28">
        <f>F34+$B$38/4</f>
        <v>15</v>
      </c>
      <c r="H34" s="34">
        <f>G34+$B$38/4</f>
        <v>20</v>
      </c>
      <c r="I34" s="5" t="s">
        <v>41</v>
      </c>
    </row>
    <row r="35" spans="1:9" ht="17.25" customHeight="1" x14ac:dyDescent="0.3">
      <c r="A35" s="55"/>
      <c r="B35" s="8" t="s">
        <v>36</v>
      </c>
      <c r="C35" s="13" t="s">
        <v>7</v>
      </c>
      <c r="D35" s="28">
        <f>D34-$B$38/4</f>
        <v>-5</v>
      </c>
      <c r="E35" s="28">
        <f>D34</f>
        <v>0</v>
      </c>
      <c r="F35" s="28">
        <f>F34-$B$38/4</f>
        <v>5</v>
      </c>
      <c r="G35" s="28">
        <f>G34-$B$38/4</f>
        <v>10</v>
      </c>
      <c r="H35" s="34">
        <f>H34-$B$38/4</f>
        <v>15</v>
      </c>
      <c r="I35" s="5" t="s">
        <v>12</v>
      </c>
    </row>
    <row r="36" spans="1:9" ht="17.25" customHeight="1" x14ac:dyDescent="0.3">
      <c r="A36" s="55"/>
      <c r="B36" s="8"/>
      <c r="C36" s="13" t="s">
        <v>8</v>
      </c>
      <c r="D36" s="28">
        <f>D35-$B$38/4</f>
        <v>-10</v>
      </c>
      <c r="E36" s="28">
        <f>E35-$B$38/4</f>
        <v>-5</v>
      </c>
      <c r="F36" s="28">
        <f>D34</f>
        <v>0</v>
      </c>
      <c r="G36" s="28">
        <f>G35-$B$38/4</f>
        <v>5</v>
      </c>
      <c r="H36" s="34">
        <f>H35-$B$38/4</f>
        <v>10</v>
      </c>
      <c r="I36" s="5" t="s">
        <v>13</v>
      </c>
    </row>
    <row r="37" spans="1:9" ht="17.25" customHeight="1" x14ac:dyDescent="0.3">
      <c r="A37" s="55"/>
      <c r="B37" s="8"/>
      <c r="C37" s="13" t="s">
        <v>9</v>
      </c>
      <c r="D37" s="28">
        <f>D36-$B$38/4</f>
        <v>-15</v>
      </c>
      <c r="E37" s="28">
        <f>E36-$B$38/4</f>
        <v>-10</v>
      </c>
      <c r="F37" s="28">
        <f>F36-$B$38/4</f>
        <v>-5</v>
      </c>
      <c r="G37" s="28">
        <f>D34</f>
        <v>0</v>
      </c>
      <c r="H37" s="34">
        <f>H36-$B$38/4</f>
        <v>5</v>
      </c>
      <c r="I37" s="16"/>
    </row>
    <row r="38" spans="1:9" ht="17.25" customHeight="1" thickBot="1" x14ac:dyDescent="0.35">
      <c r="A38" s="55"/>
      <c r="B38" s="9">
        <v>20</v>
      </c>
      <c r="C38" s="14" t="s">
        <v>10</v>
      </c>
      <c r="D38" s="36">
        <f>D37-$B$38/4</f>
        <v>-20</v>
      </c>
      <c r="E38" s="36">
        <f>E37-$B$38/4</f>
        <v>-15</v>
      </c>
      <c r="F38" s="36">
        <f>F37-$B$38/4</f>
        <v>-10</v>
      </c>
      <c r="G38" s="36">
        <f>G37-$B$38/4</f>
        <v>-5</v>
      </c>
      <c r="H38" s="37">
        <f>D34</f>
        <v>0</v>
      </c>
      <c r="I38" s="16"/>
    </row>
    <row r="39" spans="1:9" ht="17.25" customHeight="1" x14ac:dyDescent="0.3">
      <c r="A39" s="55"/>
      <c r="B39" s="7" t="s">
        <v>94</v>
      </c>
      <c r="C39" s="10" t="s">
        <v>34</v>
      </c>
      <c r="D39" s="45" t="s">
        <v>6</v>
      </c>
      <c r="E39" s="45" t="s">
        <v>10</v>
      </c>
      <c r="F39" s="47"/>
      <c r="G39" s="45"/>
      <c r="H39" s="51"/>
      <c r="I39" s="3" t="s">
        <v>49</v>
      </c>
    </row>
    <row r="40" spans="1:9" ht="17.25" customHeight="1" x14ac:dyDescent="0.3">
      <c r="A40" s="55"/>
      <c r="B40" s="8" t="s">
        <v>95</v>
      </c>
      <c r="C40" s="11" t="s">
        <v>33</v>
      </c>
      <c r="D40" s="46"/>
      <c r="E40" s="46"/>
      <c r="F40" s="48"/>
      <c r="G40" s="46"/>
      <c r="H40" s="52"/>
      <c r="I40" s="5" t="s">
        <v>14</v>
      </c>
    </row>
    <row r="41" spans="1:9" ht="17.25" customHeight="1" x14ac:dyDescent="0.3">
      <c r="A41" s="55"/>
      <c r="B41" s="8"/>
      <c r="C41" s="13" t="s">
        <v>6</v>
      </c>
      <c r="D41" s="28">
        <v>0</v>
      </c>
      <c r="E41" s="28">
        <f>D41+$B$45</f>
        <v>3</v>
      </c>
      <c r="F41" s="38"/>
      <c r="G41" s="29"/>
      <c r="H41" s="34"/>
      <c r="I41" s="5" t="s">
        <v>167</v>
      </c>
    </row>
    <row r="42" spans="1:9" ht="17.25" customHeight="1" x14ac:dyDescent="0.3">
      <c r="A42" s="55"/>
      <c r="B42" s="8"/>
      <c r="C42" s="13" t="s">
        <v>10</v>
      </c>
      <c r="D42" s="28">
        <f>D41-$B$45</f>
        <v>-3</v>
      </c>
      <c r="E42" s="28">
        <f>D41</f>
        <v>0</v>
      </c>
      <c r="F42" s="29"/>
      <c r="G42" s="29"/>
      <c r="H42" s="35"/>
      <c r="I42" s="16"/>
    </row>
    <row r="43" spans="1:9" ht="17.25" customHeight="1" x14ac:dyDescent="0.3">
      <c r="A43" s="55"/>
      <c r="B43" s="8"/>
      <c r="C43" s="12"/>
      <c r="D43" s="39"/>
      <c r="E43" s="29"/>
      <c r="F43" s="28"/>
      <c r="G43" s="29"/>
      <c r="H43" s="35"/>
      <c r="I43" s="16"/>
    </row>
    <row r="44" spans="1:9" ht="17.25" customHeight="1" x14ac:dyDescent="0.3">
      <c r="A44" s="55"/>
      <c r="B44" s="8"/>
      <c r="C44" s="13"/>
      <c r="D44" s="29"/>
      <c r="E44" s="29"/>
      <c r="F44" s="29"/>
      <c r="G44" s="28"/>
      <c r="H44" s="35"/>
      <c r="I44" s="16"/>
    </row>
    <row r="45" spans="1:9" ht="17.25" customHeight="1" thickBot="1" x14ac:dyDescent="0.35">
      <c r="A45" s="71"/>
      <c r="B45" s="9">
        <v>3</v>
      </c>
      <c r="C45" s="14"/>
      <c r="D45" s="36"/>
      <c r="E45" s="31"/>
      <c r="F45" s="31"/>
      <c r="G45" s="31"/>
      <c r="H45" s="37"/>
      <c r="I45" s="6"/>
    </row>
    <row r="46" spans="1:9" ht="17.25" customHeight="1" thickTop="1" x14ac:dyDescent="0.3">
      <c r="A46" s="72" t="s">
        <v>15</v>
      </c>
      <c r="B46" s="7" t="s">
        <v>96</v>
      </c>
      <c r="C46" s="10" t="s">
        <v>34</v>
      </c>
      <c r="D46" s="45" t="s">
        <v>6</v>
      </c>
      <c r="E46" s="45" t="s">
        <v>7</v>
      </c>
      <c r="F46" s="45" t="s">
        <v>8</v>
      </c>
      <c r="G46" s="45" t="s">
        <v>9</v>
      </c>
      <c r="H46" s="51" t="s">
        <v>10</v>
      </c>
      <c r="I46" s="3" t="s">
        <v>16</v>
      </c>
    </row>
    <row r="47" spans="1:9" ht="17.25" customHeight="1" x14ac:dyDescent="0.3">
      <c r="A47" s="55"/>
      <c r="B47" s="8" t="s">
        <v>97</v>
      </c>
      <c r="C47" s="11" t="s">
        <v>33</v>
      </c>
      <c r="D47" s="46"/>
      <c r="E47" s="46"/>
      <c r="F47" s="46"/>
      <c r="G47" s="46"/>
      <c r="H47" s="52"/>
      <c r="I47" s="5" t="s">
        <v>52</v>
      </c>
    </row>
    <row r="48" spans="1:9" ht="17.25" customHeight="1" x14ac:dyDescent="0.3">
      <c r="A48" s="55"/>
      <c r="B48" s="8" t="s">
        <v>98</v>
      </c>
      <c r="C48" s="13" t="s">
        <v>6</v>
      </c>
      <c r="D48" s="29">
        <v>0</v>
      </c>
      <c r="E48" s="29">
        <f>D48+$B$52/4</f>
        <v>1.25</v>
      </c>
      <c r="F48" s="29">
        <f>E48+$B$52/4</f>
        <v>2.5</v>
      </c>
      <c r="G48" s="29">
        <f>F48+$B$52/4</f>
        <v>3.75</v>
      </c>
      <c r="H48" s="29">
        <f>G48+$B$52/4</f>
        <v>5</v>
      </c>
      <c r="I48" s="5" t="s">
        <v>53</v>
      </c>
    </row>
    <row r="49" spans="1:9" ht="17.25" customHeight="1" x14ac:dyDescent="0.3">
      <c r="A49" s="55"/>
      <c r="B49" s="8" t="s">
        <v>99</v>
      </c>
      <c r="C49" s="13" t="s">
        <v>7</v>
      </c>
      <c r="D49" s="29">
        <f>D48-$B$52/4</f>
        <v>-1.25</v>
      </c>
      <c r="E49" s="29">
        <f>D48</f>
        <v>0</v>
      </c>
      <c r="F49" s="29">
        <f>F48-$B$52/4</f>
        <v>1.25</v>
      </c>
      <c r="G49" s="29">
        <f>G48-$B$52/4</f>
        <v>2.5</v>
      </c>
      <c r="H49" s="29">
        <f>H48-$B$52/4</f>
        <v>3.75</v>
      </c>
      <c r="I49" s="5" t="s">
        <v>54</v>
      </c>
    </row>
    <row r="50" spans="1:9" ht="17.25" customHeight="1" x14ac:dyDescent="0.3">
      <c r="A50" s="55"/>
      <c r="B50" s="8"/>
      <c r="C50" s="13" t="s">
        <v>8</v>
      </c>
      <c r="D50" s="29">
        <f t="shared" ref="D50:H52" si="0">D49-$B$52/4</f>
        <v>-2.5</v>
      </c>
      <c r="E50" s="29">
        <f t="shared" si="0"/>
        <v>-1.25</v>
      </c>
      <c r="F50" s="29">
        <f>D48</f>
        <v>0</v>
      </c>
      <c r="G50" s="29">
        <f t="shared" si="0"/>
        <v>1.25</v>
      </c>
      <c r="H50" s="29">
        <f t="shared" si="0"/>
        <v>2.5</v>
      </c>
      <c r="I50" s="5" t="s">
        <v>55</v>
      </c>
    </row>
    <row r="51" spans="1:9" ht="17.25" customHeight="1" x14ac:dyDescent="0.3">
      <c r="A51" s="55"/>
      <c r="B51" s="8"/>
      <c r="C51" s="13" t="s">
        <v>9</v>
      </c>
      <c r="D51" s="29">
        <f t="shared" si="0"/>
        <v>-3.75</v>
      </c>
      <c r="E51" s="29">
        <f t="shared" si="0"/>
        <v>-2.5</v>
      </c>
      <c r="F51" s="29">
        <f t="shared" si="0"/>
        <v>-1.25</v>
      </c>
      <c r="G51" s="29">
        <f>E49</f>
        <v>0</v>
      </c>
      <c r="H51" s="29">
        <f t="shared" si="0"/>
        <v>1.25</v>
      </c>
      <c r="I51" s="16"/>
    </row>
    <row r="52" spans="1:9" ht="17.25" customHeight="1" thickBot="1" x14ac:dyDescent="0.35">
      <c r="A52" s="55"/>
      <c r="B52" s="9">
        <v>5</v>
      </c>
      <c r="C52" s="14" t="s">
        <v>10</v>
      </c>
      <c r="D52" s="29">
        <f t="shared" si="0"/>
        <v>-5</v>
      </c>
      <c r="E52" s="29">
        <f t="shared" si="0"/>
        <v>-3.75</v>
      </c>
      <c r="F52" s="29">
        <f>F51-$B$52/4</f>
        <v>-2.5</v>
      </c>
      <c r="G52" s="29">
        <f>G51-$B$52/4</f>
        <v>-1.25</v>
      </c>
      <c r="H52" s="29">
        <f>F50</f>
        <v>0</v>
      </c>
      <c r="I52" s="16"/>
    </row>
    <row r="53" spans="1:9" ht="17.25" customHeight="1" x14ac:dyDescent="0.3">
      <c r="A53" s="55"/>
      <c r="B53" s="7" t="s">
        <v>100</v>
      </c>
      <c r="C53" s="10" t="s">
        <v>34</v>
      </c>
      <c r="D53" s="45" t="s">
        <v>6</v>
      </c>
      <c r="E53" s="45" t="s">
        <v>7</v>
      </c>
      <c r="F53" s="45" t="s">
        <v>8</v>
      </c>
      <c r="G53" s="45" t="s">
        <v>9</v>
      </c>
      <c r="H53" s="51" t="s">
        <v>10</v>
      </c>
      <c r="I53" s="3" t="s">
        <v>17</v>
      </c>
    </row>
    <row r="54" spans="1:9" ht="17.25" customHeight="1" x14ac:dyDescent="0.3">
      <c r="A54" s="55"/>
      <c r="B54" s="8" t="s">
        <v>101</v>
      </c>
      <c r="C54" s="11" t="s">
        <v>33</v>
      </c>
      <c r="D54" s="46"/>
      <c r="E54" s="46"/>
      <c r="F54" s="46"/>
      <c r="G54" s="46"/>
      <c r="H54" s="52"/>
      <c r="I54" s="4" t="s">
        <v>51</v>
      </c>
    </row>
    <row r="55" spans="1:9" ht="17.25" customHeight="1" x14ac:dyDescent="0.3">
      <c r="A55" s="55"/>
      <c r="B55" s="8" t="s">
        <v>96</v>
      </c>
      <c r="C55" s="13" t="s">
        <v>6</v>
      </c>
      <c r="D55" s="28">
        <v>0</v>
      </c>
      <c r="E55" s="28">
        <f>D55+$B$59/4</f>
        <v>5</v>
      </c>
      <c r="F55" s="28">
        <f>E55+$B$59/4</f>
        <v>10</v>
      </c>
      <c r="G55" s="28">
        <f>F55+$B$59/4</f>
        <v>15</v>
      </c>
      <c r="H55" s="34">
        <f>G55+$B$59/4</f>
        <v>20</v>
      </c>
      <c r="I55" s="4" t="s">
        <v>102</v>
      </c>
    </row>
    <row r="56" spans="1:9" ht="17.25" customHeight="1" x14ac:dyDescent="0.3">
      <c r="A56" s="55"/>
      <c r="B56" s="8" t="s">
        <v>97</v>
      </c>
      <c r="C56" s="13" t="s">
        <v>7</v>
      </c>
      <c r="D56" s="28">
        <f>D55-$B$59/4</f>
        <v>-5</v>
      </c>
      <c r="E56" s="28">
        <f>D55</f>
        <v>0</v>
      </c>
      <c r="F56" s="28">
        <f>F55-$B$59/4</f>
        <v>5</v>
      </c>
      <c r="G56" s="28">
        <f>G55-$B$59/4</f>
        <v>10</v>
      </c>
      <c r="H56" s="34">
        <f>H55-$B$59/4</f>
        <v>15</v>
      </c>
      <c r="I56" s="4" t="s">
        <v>61</v>
      </c>
    </row>
    <row r="57" spans="1:9" ht="17.25" customHeight="1" x14ac:dyDescent="0.3">
      <c r="A57" s="55"/>
      <c r="B57" s="8" t="s">
        <v>79</v>
      </c>
      <c r="C57" s="13" t="s">
        <v>8</v>
      </c>
      <c r="D57" s="28">
        <f>D56-$B$59/4</f>
        <v>-10</v>
      </c>
      <c r="E57" s="28">
        <f>E56-$B$59/4</f>
        <v>-5</v>
      </c>
      <c r="F57" s="28">
        <f>D55</f>
        <v>0</v>
      </c>
      <c r="G57" s="28">
        <f>G56-$B$59/4</f>
        <v>5</v>
      </c>
      <c r="H57" s="34">
        <f>H56-$B$59/4</f>
        <v>10</v>
      </c>
      <c r="I57" s="4" t="s">
        <v>62</v>
      </c>
    </row>
    <row r="58" spans="1:9" ht="17.25" customHeight="1" x14ac:dyDescent="0.3">
      <c r="A58" s="55"/>
      <c r="B58" s="8" t="s">
        <v>80</v>
      </c>
      <c r="C58" s="13" t="s">
        <v>9</v>
      </c>
      <c r="D58" s="28">
        <f>D57-$B$59/4</f>
        <v>-15</v>
      </c>
      <c r="E58" s="28">
        <f>E57-$B$59/4</f>
        <v>-10</v>
      </c>
      <c r="F58" s="28">
        <f>F57-$B$59/4</f>
        <v>-5</v>
      </c>
      <c r="G58" s="28">
        <f>D55</f>
        <v>0</v>
      </c>
      <c r="H58" s="34">
        <f>H57-$B$59/4</f>
        <v>5</v>
      </c>
      <c r="I58" s="5" t="s">
        <v>59</v>
      </c>
    </row>
    <row r="59" spans="1:9" ht="17.25" customHeight="1" thickBot="1" x14ac:dyDescent="0.35">
      <c r="A59" s="70"/>
      <c r="B59" s="9">
        <v>20</v>
      </c>
      <c r="C59" s="14" t="s">
        <v>10</v>
      </c>
      <c r="D59" s="36">
        <f>D58-$B$59/4</f>
        <v>-20</v>
      </c>
      <c r="E59" s="36">
        <f>E58-$B$59/4</f>
        <v>-15</v>
      </c>
      <c r="F59" s="36">
        <f>F58-$B$59/4</f>
        <v>-10</v>
      </c>
      <c r="G59" s="36">
        <f>G58-$B$59/4</f>
        <v>-5</v>
      </c>
      <c r="H59" s="37">
        <f>D55</f>
        <v>0</v>
      </c>
      <c r="I59" s="16"/>
    </row>
    <row r="60" spans="1:9" ht="17.25" customHeight="1" x14ac:dyDescent="0.3">
      <c r="A60" s="72" t="s">
        <v>18</v>
      </c>
      <c r="B60" s="7" t="s">
        <v>103</v>
      </c>
      <c r="C60" s="10" t="s">
        <v>34</v>
      </c>
      <c r="D60" s="45" t="s">
        <v>6</v>
      </c>
      <c r="E60" s="45" t="s">
        <v>7</v>
      </c>
      <c r="F60" s="45" t="s">
        <v>8</v>
      </c>
      <c r="G60" s="45" t="s">
        <v>9</v>
      </c>
      <c r="H60" s="51" t="s">
        <v>10</v>
      </c>
      <c r="I60" s="17" t="s">
        <v>63</v>
      </c>
    </row>
    <row r="61" spans="1:9" ht="17.25" customHeight="1" x14ac:dyDescent="0.3">
      <c r="A61" s="55"/>
      <c r="B61" s="8" t="s">
        <v>104</v>
      </c>
      <c r="C61" s="11" t="s">
        <v>33</v>
      </c>
      <c r="D61" s="46"/>
      <c r="E61" s="46"/>
      <c r="F61" s="46"/>
      <c r="G61" s="46"/>
      <c r="H61" s="52"/>
      <c r="I61" s="18" t="s">
        <v>105</v>
      </c>
    </row>
    <row r="62" spans="1:9" ht="17.25" customHeight="1" x14ac:dyDescent="0.3">
      <c r="A62" s="55"/>
      <c r="B62" s="8" t="s">
        <v>106</v>
      </c>
      <c r="C62" s="13" t="s">
        <v>6</v>
      </c>
      <c r="D62" s="28">
        <v>0</v>
      </c>
      <c r="E62" s="28">
        <f>D62+$B$66/4</f>
        <v>2</v>
      </c>
      <c r="F62" s="28">
        <f>E62+$B$66/4</f>
        <v>4</v>
      </c>
      <c r="G62" s="28">
        <f>F62+$B$66/4</f>
        <v>6</v>
      </c>
      <c r="H62" s="34">
        <f>G62+$B$66/4</f>
        <v>8</v>
      </c>
      <c r="I62" s="18" t="s">
        <v>107</v>
      </c>
    </row>
    <row r="63" spans="1:9" ht="17.25" customHeight="1" x14ac:dyDescent="0.3">
      <c r="A63" s="55"/>
      <c r="B63" s="8" t="s">
        <v>108</v>
      </c>
      <c r="C63" s="13" t="s">
        <v>7</v>
      </c>
      <c r="D63" s="28">
        <f>D62-$B$66/4</f>
        <v>-2</v>
      </c>
      <c r="E63" s="28">
        <f>D62</f>
        <v>0</v>
      </c>
      <c r="F63" s="28">
        <f>F62-$B$66/4</f>
        <v>2</v>
      </c>
      <c r="G63" s="28">
        <f>G62-$B$66/4</f>
        <v>4</v>
      </c>
      <c r="H63" s="34">
        <f>H62-$B$66/4</f>
        <v>6</v>
      </c>
      <c r="I63" s="18" t="s">
        <v>109</v>
      </c>
    </row>
    <row r="64" spans="1:9" ht="17.25" customHeight="1" x14ac:dyDescent="0.3">
      <c r="A64" s="55"/>
      <c r="B64" s="8" t="s">
        <v>110</v>
      </c>
      <c r="C64" s="13" t="s">
        <v>8</v>
      </c>
      <c r="D64" s="28">
        <f>D63-$B$66/4</f>
        <v>-4</v>
      </c>
      <c r="E64" s="28">
        <f>E63-$B$66/4</f>
        <v>-2</v>
      </c>
      <c r="F64" s="28">
        <f>D62</f>
        <v>0</v>
      </c>
      <c r="G64" s="28">
        <f>G63-$B$66/4</f>
        <v>2</v>
      </c>
      <c r="H64" s="34">
        <f>H63-$B$66/4</f>
        <v>4</v>
      </c>
      <c r="I64" s="18" t="s">
        <v>111</v>
      </c>
    </row>
    <row r="65" spans="1:9" ht="17.25" customHeight="1" x14ac:dyDescent="0.3">
      <c r="A65" s="55"/>
      <c r="B65" s="8" t="s">
        <v>112</v>
      </c>
      <c r="C65" s="13" t="s">
        <v>9</v>
      </c>
      <c r="D65" s="28">
        <f>D64-$B$66/4</f>
        <v>-6</v>
      </c>
      <c r="E65" s="28">
        <f>E64-$B$66/4</f>
        <v>-4</v>
      </c>
      <c r="F65" s="28">
        <f>F64-$B$66/4</f>
        <v>-2</v>
      </c>
      <c r="G65" s="28">
        <f>D62</f>
        <v>0</v>
      </c>
      <c r="H65" s="34">
        <f>H64-$B$66/4</f>
        <v>2</v>
      </c>
      <c r="I65" s="19" t="s">
        <v>113</v>
      </c>
    </row>
    <row r="66" spans="1:9" ht="17.25" customHeight="1" thickBot="1" x14ac:dyDescent="0.35">
      <c r="A66" s="55"/>
      <c r="B66" s="9">
        <v>8</v>
      </c>
      <c r="C66" s="14" t="s">
        <v>10</v>
      </c>
      <c r="D66" s="36">
        <f>D65-$B$66/4</f>
        <v>-8</v>
      </c>
      <c r="E66" s="36">
        <f>E65-$B$66/4</f>
        <v>-6</v>
      </c>
      <c r="F66" s="36">
        <f>F65-$B$66/4</f>
        <v>-4</v>
      </c>
      <c r="G66" s="36">
        <f>G65-$B$66/4</f>
        <v>-2</v>
      </c>
      <c r="H66" s="37">
        <f>D62</f>
        <v>0</v>
      </c>
      <c r="I66" s="20"/>
    </row>
    <row r="67" spans="1:9" ht="17.25" customHeight="1" x14ac:dyDescent="0.3">
      <c r="A67" s="55"/>
      <c r="B67" s="7" t="s">
        <v>103</v>
      </c>
      <c r="C67" s="10" t="s">
        <v>34</v>
      </c>
      <c r="D67" s="45" t="s">
        <v>6</v>
      </c>
      <c r="E67" s="45" t="s">
        <v>7</v>
      </c>
      <c r="F67" s="45" t="s">
        <v>8</v>
      </c>
      <c r="G67" s="45" t="s">
        <v>9</v>
      </c>
      <c r="H67" s="51" t="s">
        <v>10</v>
      </c>
      <c r="I67" s="3" t="s">
        <v>38</v>
      </c>
    </row>
    <row r="68" spans="1:9" ht="17.25" customHeight="1" x14ac:dyDescent="0.3">
      <c r="A68" s="55"/>
      <c r="B68" s="8" t="s">
        <v>104</v>
      </c>
      <c r="C68" s="11" t="s">
        <v>33</v>
      </c>
      <c r="D68" s="46"/>
      <c r="E68" s="46"/>
      <c r="F68" s="46"/>
      <c r="G68" s="46"/>
      <c r="H68" s="52"/>
      <c r="I68" s="18" t="s">
        <v>105</v>
      </c>
    </row>
    <row r="69" spans="1:9" ht="17.25" customHeight="1" x14ac:dyDescent="0.3">
      <c r="A69" s="55"/>
      <c r="B69" s="8" t="s">
        <v>114</v>
      </c>
      <c r="C69" s="13" t="s">
        <v>6</v>
      </c>
      <c r="D69" s="28">
        <v>0</v>
      </c>
      <c r="E69" s="28">
        <f>D69+$B$73/4</f>
        <v>2</v>
      </c>
      <c r="F69" s="28">
        <f>E69+$B$73/4</f>
        <v>4</v>
      </c>
      <c r="G69" s="28">
        <f>F69+$B$73/4</f>
        <v>6</v>
      </c>
      <c r="H69" s="34">
        <f>G69+$B$73/4</f>
        <v>8</v>
      </c>
      <c r="I69" s="18" t="s">
        <v>107</v>
      </c>
    </row>
    <row r="70" spans="1:9" ht="17.25" customHeight="1" x14ac:dyDescent="0.3">
      <c r="A70" s="55"/>
      <c r="B70" s="8" t="s">
        <v>115</v>
      </c>
      <c r="C70" s="13" t="s">
        <v>7</v>
      </c>
      <c r="D70" s="28">
        <f>D69-$B$73/4</f>
        <v>-2</v>
      </c>
      <c r="E70" s="28">
        <f>D69</f>
        <v>0</v>
      </c>
      <c r="F70" s="28">
        <f>F69-$B$73/4</f>
        <v>2</v>
      </c>
      <c r="G70" s="28">
        <f>G69-$B$73/4</f>
        <v>4</v>
      </c>
      <c r="H70" s="34">
        <f>H69-$B$73/4</f>
        <v>6</v>
      </c>
      <c r="I70" s="18" t="s">
        <v>109</v>
      </c>
    </row>
    <row r="71" spans="1:9" ht="17.25" customHeight="1" x14ac:dyDescent="0.3">
      <c r="A71" s="55"/>
      <c r="B71" s="8" t="s">
        <v>110</v>
      </c>
      <c r="C71" s="13" t="s">
        <v>8</v>
      </c>
      <c r="D71" s="28">
        <f>D70-$B$73/4</f>
        <v>-4</v>
      </c>
      <c r="E71" s="28">
        <f>E70-$B$73/4</f>
        <v>-2</v>
      </c>
      <c r="F71" s="28">
        <f>D69</f>
        <v>0</v>
      </c>
      <c r="G71" s="28">
        <f>G70-$B$73/4</f>
        <v>2</v>
      </c>
      <c r="H71" s="34">
        <f>H70-$B$73/4</f>
        <v>4</v>
      </c>
      <c r="I71" s="18" t="s">
        <v>111</v>
      </c>
    </row>
    <row r="72" spans="1:9" ht="17.25" customHeight="1" x14ac:dyDescent="0.3">
      <c r="A72" s="55"/>
      <c r="B72" s="8" t="s">
        <v>112</v>
      </c>
      <c r="C72" s="13" t="s">
        <v>9</v>
      </c>
      <c r="D72" s="28">
        <f>D71-$B$73/4</f>
        <v>-6</v>
      </c>
      <c r="E72" s="28">
        <f>E71-$B$73/4</f>
        <v>-4</v>
      </c>
      <c r="F72" s="28">
        <f>F71-$B$73/4</f>
        <v>-2</v>
      </c>
      <c r="G72" s="28">
        <f>D69</f>
        <v>0</v>
      </c>
      <c r="H72" s="34">
        <f>H71-$B$73/4</f>
        <v>2</v>
      </c>
      <c r="I72" s="19" t="s">
        <v>113</v>
      </c>
    </row>
    <row r="73" spans="1:9" ht="17.25" customHeight="1" thickBot="1" x14ac:dyDescent="0.35">
      <c r="A73" s="55"/>
      <c r="B73" s="9">
        <v>8</v>
      </c>
      <c r="C73" s="14" t="s">
        <v>10</v>
      </c>
      <c r="D73" s="36">
        <f>D72-$B$73/4</f>
        <v>-8</v>
      </c>
      <c r="E73" s="36">
        <f>E72-$B$73/4</f>
        <v>-6</v>
      </c>
      <c r="F73" s="36">
        <f>F72-$B$73/4</f>
        <v>-4</v>
      </c>
      <c r="G73" s="36">
        <f>G72-$B$73/4</f>
        <v>-2</v>
      </c>
      <c r="H73" s="37">
        <f>D69</f>
        <v>0</v>
      </c>
      <c r="I73" s="5"/>
    </row>
    <row r="74" spans="1:9" ht="17.25" customHeight="1" x14ac:dyDescent="0.3">
      <c r="A74" s="55"/>
      <c r="B74" s="7" t="s">
        <v>116</v>
      </c>
      <c r="C74" s="10" t="s">
        <v>34</v>
      </c>
      <c r="D74" s="45" t="s">
        <v>6</v>
      </c>
      <c r="E74" s="45" t="s">
        <v>7</v>
      </c>
      <c r="F74" s="45" t="s">
        <v>8</v>
      </c>
      <c r="G74" s="45" t="s">
        <v>9</v>
      </c>
      <c r="H74" s="51" t="s">
        <v>10</v>
      </c>
      <c r="I74" s="57" t="s">
        <v>64</v>
      </c>
    </row>
    <row r="75" spans="1:9" ht="17.25" customHeight="1" x14ac:dyDescent="0.3">
      <c r="A75" s="55"/>
      <c r="B75" s="8" t="s">
        <v>117</v>
      </c>
      <c r="C75" s="11" t="s">
        <v>33</v>
      </c>
      <c r="D75" s="46"/>
      <c r="E75" s="46"/>
      <c r="F75" s="46"/>
      <c r="G75" s="46"/>
      <c r="H75" s="52"/>
      <c r="I75" s="58"/>
    </row>
    <row r="76" spans="1:9" ht="17.25" customHeight="1" x14ac:dyDescent="0.3">
      <c r="A76" s="55"/>
      <c r="B76" s="8" t="s">
        <v>118</v>
      </c>
      <c r="C76" s="13" t="s">
        <v>6</v>
      </c>
      <c r="D76" s="28">
        <v>0</v>
      </c>
      <c r="E76" s="40">
        <f>D76+$B$80/4</f>
        <v>2.5</v>
      </c>
      <c r="F76" s="40">
        <f>E76+$B$80/4</f>
        <v>5</v>
      </c>
      <c r="G76" s="40">
        <f>F76+$B$80/4</f>
        <v>7.5</v>
      </c>
      <c r="H76" s="41">
        <f>G76+$B$80/4</f>
        <v>10</v>
      </c>
      <c r="I76" s="18" t="s">
        <v>105</v>
      </c>
    </row>
    <row r="77" spans="1:9" ht="17.25" customHeight="1" x14ac:dyDescent="0.3">
      <c r="A77" s="55"/>
      <c r="B77" s="8" t="s">
        <v>119</v>
      </c>
      <c r="C77" s="13" t="s">
        <v>7</v>
      </c>
      <c r="D77" s="33">
        <f>D76-$B$80/4</f>
        <v>-2.5</v>
      </c>
      <c r="E77" s="28">
        <f>D76</f>
        <v>0</v>
      </c>
      <c r="F77" s="33">
        <f>F76-$B$80/4</f>
        <v>2.5</v>
      </c>
      <c r="G77" s="33">
        <f>G76-$B$80/4</f>
        <v>5</v>
      </c>
      <c r="H77" s="42">
        <f>H76-$B$80/4</f>
        <v>7.5</v>
      </c>
      <c r="I77" s="18" t="s">
        <v>107</v>
      </c>
    </row>
    <row r="78" spans="1:9" ht="17.25" customHeight="1" x14ac:dyDescent="0.3">
      <c r="A78" s="55"/>
      <c r="B78" s="8" t="s">
        <v>110</v>
      </c>
      <c r="C78" s="13" t="s">
        <v>8</v>
      </c>
      <c r="D78" s="33">
        <f>D77-$B$80/4</f>
        <v>-5</v>
      </c>
      <c r="E78" s="33">
        <f>E77-$B$80/4</f>
        <v>-2.5</v>
      </c>
      <c r="F78" s="28">
        <f>D76</f>
        <v>0</v>
      </c>
      <c r="G78" s="33">
        <f>G77-$B$80/4</f>
        <v>2.5</v>
      </c>
      <c r="H78" s="42">
        <f>H77-$B$80/4</f>
        <v>5</v>
      </c>
      <c r="I78" s="18" t="s">
        <v>109</v>
      </c>
    </row>
    <row r="79" spans="1:9" ht="17.25" customHeight="1" x14ac:dyDescent="0.3">
      <c r="A79" s="55"/>
      <c r="B79" s="8" t="s">
        <v>112</v>
      </c>
      <c r="C79" s="13" t="s">
        <v>9</v>
      </c>
      <c r="D79" s="33">
        <f>D78-$B$80/4</f>
        <v>-7.5</v>
      </c>
      <c r="E79" s="33">
        <f>E78-$B$80/4</f>
        <v>-5</v>
      </c>
      <c r="F79" s="33">
        <f>F78-$B$80/4</f>
        <v>-2.5</v>
      </c>
      <c r="G79" s="28">
        <f>D76</f>
        <v>0</v>
      </c>
      <c r="H79" s="42">
        <f>H78-$B$80/4</f>
        <v>2.5</v>
      </c>
      <c r="I79" s="18" t="s">
        <v>111</v>
      </c>
    </row>
    <row r="80" spans="1:9" ht="17.25" customHeight="1" thickBot="1" x14ac:dyDescent="0.35">
      <c r="A80" s="55"/>
      <c r="B80" s="9">
        <v>10</v>
      </c>
      <c r="C80" s="14" t="s">
        <v>10</v>
      </c>
      <c r="D80" s="43">
        <f>D79-$B$80/4</f>
        <v>-10</v>
      </c>
      <c r="E80" s="43">
        <f>E79-$B$80/4</f>
        <v>-7.5</v>
      </c>
      <c r="F80" s="43">
        <f>F79-$B$80/4</f>
        <v>-5</v>
      </c>
      <c r="G80" s="43">
        <f>G79-$B$80/4</f>
        <v>-2.5</v>
      </c>
      <c r="H80" s="37">
        <f>D76</f>
        <v>0</v>
      </c>
      <c r="I80" s="5" t="s">
        <v>113</v>
      </c>
    </row>
    <row r="81" spans="1:9" ht="17.25" customHeight="1" x14ac:dyDescent="0.3">
      <c r="A81" s="55"/>
      <c r="B81" s="7" t="s">
        <v>103</v>
      </c>
      <c r="C81" s="10" t="s">
        <v>34</v>
      </c>
      <c r="D81" s="45" t="s">
        <v>6</v>
      </c>
      <c r="E81" s="45" t="s">
        <v>7</v>
      </c>
      <c r="F81" s="45" t="s">
        <v>8</v>
      </c>
      <c r="G81" s="45" t="s">
        <v>9</v>
      </c>
      <c r="H81" s="51" t="s">
        <v>10</v>
      </c>
      <c r="I81" s="57" t="s">
        <v>65</v>
      </c>
    </row>
    <row r="82" spans="1:9" ht="17.25" customHeight="1" x14ac:dyDescent="0.3">
      <c r="A82" s="55"/>
      <c r="B82" s="8" t="s">
        <v>104</v>
      </c>
      <c r="C82" s="11" t="s">
        <v>33</v>
      </c>
      <c r="D82" s="46"/>
      <c r="E82" s="46"/>
      <c r="F82" s="46"/>
      <c r="G82" s="46"/>
      <c r="H82" s="52"/>
      <c r="I82" s="58"/>
    </row>
    <row r="83" spans="1:9" ht="17.25" customHeight="1" x14ac:dyDescent="0.3">
      <c r="A83" s="55"/>
      <c r="B83" s="8" t="s">
        <v>120</v>
      </c>
      <c r="C83" s="13" t="s">
        <v>6</v>
      </c>
      <c r="D83" s="28">
        <v>0</v>
      </c>
      <c r="E83" s="33">
        <f>D83+$B$87/4</f>
        <v>2.5</v>
      </c>
      <c r="F83" s="33">
        <f>E83+$B$87/4</f>
        <v>5</v>
      </c>
      <c r="G83" s="33">
        <f>F83+$B$87/4</f>
        <v>7.5</v>
      </c>
      <c r="H83" s="42">
        <f>G83+$B$87/4</f>
        <v>10</v>
      </c>
      <c r="I83" s="18" t="s">
        <v>105</v>
      </c>
    </row>
    <row r="84" spans="1:9" ht="17.25" customHeight="1" x14ac:dyDescent="0.3">
      <c r="A84" s="55"/>
      <c r="B84" s="8" t="s">
        <v>121</v>
      </c>
      <c r="C84" s="13" t="s">
        <v>7</v>
      </c>
      <c r="D84" s="33">
        <f>D83-$B$87/4</f>
        <v>-2.5</v>
      </c>
      <c r="E84" s="28">
        <f>D83</f>
        <v>0</v>
      </c>
      <c r="F84" s="33">
        <f>F83-$B$87/4</f>
        <v>2.5</v>
      </c>
      <c r="G84" s="33">
        <f>G83-$B$87/4</f>
        <v>5</v>
      </c>
      <c r="H84" s="42">
        <f>H83-$B$87/4</f>
        <v>7.5</v>
      </c>
      <c r="I84" s="18" t="s">
        <v>107</v>
      </c>
    </row>
    <row r="85" spans="1:9" ht="17.25" customHeight="1" x14ac:dyDescent="0.3">
      <c r="A85" s="55"/>
      <c r="B85" s="8" t="s">
        <v>110</v>
      </c>
      <c r="C85" s="13" t="s">
        <v>8</v>
      </c>
      <c r="D85" s="33">
        <f>D84-$B$87/4</f>
        <v>-5</v>
      </c>
      <c r="E85" s="33">
        <f>E84-$B$87/4</f>
        <v>-2.5</v>
      </c>
      <c r="F85" s="28">
        <f>D83</f>
        <v>0</v>
      </c>
      <c r="G85" s="33">
        <f>G84-$B$87/4</f>
        <v>2.5</v>
      </c>
      <c r="H85" s="42">
        <f>H84-$B$87/4</f>
        <v>5</v>
      </c>
      <c r="I85" s="18" t="s">
        <v>109</v>
      </c>
    </row>
    <row r="86" spans="1:9" ht="17.25" customHeight="1" x14ac:dyDescent="0.3">
      <c r="A86" s="55"/>
      <c r="B86" s="8" t="s">
        <v>112</v>
      </c>
      <c r="C86" s="13" t="s">
        <v>9</v>
      </c>
      <c r="D86" s="33">
        <f>D85-$B$87/4</f>
        <v>-7.5</v>
      </c>
      <c r="E86" s="33">
        <f>E85-$B$87/4</f>
        <v>-5</v>
      </c>
      <c r="F86" s="33">
        <f>F85-$B$87/4</f>
        <v>-2.5</v>
      </c>
      <c r="G86" s="28">
        <f>D83</f>
        <v>0</v>
      </c>
      <c r="H86" s="42">
        <f>H85-$B$87/4</f>
        <v>2.5</v>
      </c>
      <c r="I86" s="18" t="s">
        <v>111</v>
      </c>
    </row>
    <row r="87" spans="1:9" ht="17.25" customHeight="1" thickBot="1" x14ac:dyDescent="0.35">
      <c r="A87" s="71"/>
      <c r="B87" s="9">
        <v>10</v>
      </c>
      <c r="C87" s="14" t="s">
        <v>10</v>
      </c>
      <c r="D87" s="43">
        <f>D86-$B$87/4</f>
        <v>-10</v>
      </c>
      <c r="E87" s="43">
        <f>E86-$B$87/4</f>
        <v>-7.5</v>
      </c>
      <c r="F87" s="43">
        <f>F86-$B$87/4</f>
        <v>-5</v>
      </c>
      <c r="G87" s="43">
        <f>G86-$B$87/4</f>
        <v>-2.5</v>
      </c>
      <c r="H87" s="37">
        <f>D83</f>
        <v>0</v>
      </c>
      <c r="I87" s="21" t="s">
        <v>113</v>
      </c>
    </row>
    <row r="88" spans="1:9" ht="21.75" customHeight="1" thickTop="1" x14ac:dyDescent="0.3">
      <c r="A88" s="72" t="s">
        <v>18</v>
      </c>
      <c r="B88" s="7" t="s">
        <v>103</v>
      </c>
      <c r="C88" s="10" t="s">
        <v>34</v>
      </c>
      <c r="D88" s="45" t="s">
        <v>6</v>
      </c>
      <c r="E88" s="45" t="s">
        <v>7</v>
      </c>
      <c r="F88" s="45" t="s">
        <v>8</v>
      </c>
      <c r="G88" s="45" t="s">
        <v>9</v>
      </c>
      <c r="H88" s="51" t="s">
        <v>10</v>
      </c>
      <c r="I88" s="3" t="s">
        <v>66</v>
      </c>
    </row>
    <row r="89" spans="1:9" ht="21.75" customHeight="1" x14ac:dyDescent="0.3">
      <c r="A89" s="55"/>
      <c r="B89" s="8" t="s">
        <v>104</v>
      </c>
      <c r="C89" s="11" t="s">
        <v>33</v>
      </c>
      <c r="D89" s="46"/>
      <c r="E89" s="46"/>
      <c r="F89" s="46"/>
      <c r="G89" s="46"/>
      <c r="H89" s="52"/>
      <c r="I89" s="4" t="s">
        <v>105</v>
      </c>
    </row>
    <row r="90" spans="1:9" ht="21.75" customHeight="1" x14ac:dyDescent="0.3">
      <c r="A90" s="55"/>
      <c r="B90" s="8" t="s">
        <v>122</v>
      </c>
      <c r="C90" s="13" t="s">
        <v>6</v>
      </c>
      <c r="D90" s="28">
        <v>0</v>
      </c>
      <c r="E90" s="28">
        <f>D90+$B$94/4</f>
        <v>4</v>
      </c>
      <c r="F90" s="28">
        <f>E90+$B$94/4</f>
        <v>8</v>
      </c>
      <c r="G90" s="28">
        <f>F90+$B$94/4</f>
        <v>12</v>
      </c>
      <c r="H90" s="34">
        <f>G90+$B$94/4</f>
        <v>16</v>
      </c>
      <c r="I90" s="4" t="s">
        <v>123</v>
      </c>
    </row>
    <row r="91" spans="1:9" ht="21.75" customHeight="1" x14ac:dyDescent="0.3">
      <c r="A91" s="55"/>
      <c r="B91" s="8" t="s">
        <v>124</v>
      </c>
      <c r="C91" s="13" t="s">
        <v>7</v>
      </c>
      <c r="D91" s="28">
        <f>D90-$B$94/4</f>
        <v>-4</v>
      </c>
      <c r="E91" s="28">
        <f>D90</f>
        <v>0</v>
      </c>
      <c r="F91" s="28">
        <f>F90-$B$94/4</f>
        <v>4</v>
      </c>
      <c r="G91" s="28">
        <f>G90-$B$94/4</f>
        <v>8</v>
      </c>
      <c r="H91" s="34">
        <f>H90-$B$94/4</f>
        <v>12</v>
      </c>
      <c r="I91" s="4" t="s">
        <v>125</v>
      </c>
    </row>
    <row r="92" spans="1:9" ht="21.75" customHeight="1" x14ac:dyDescent="0.3">
      <c r="A92" s="55"/>
      <c r="B92" s="8" t="s">
        <v>110</v>
      </c>
      <c r="C92" s="13" t="s">
        <v>8</v>
      </c>
      <c r="D92" s="28">
        <f>D91-$B$94/4</f>
        <v>-8</v>
      </c>
      <c r="E92" s="28">
        <f>E91-$B$94/4</f>
        <v>-4</v>
      </c>
      <c r="F92" s="28">
        <f>D90</f>
        <v>0</v>
      </c>
      <c r="G92" s="28">
        <f>G91-$B$94/4</f>
        <v>4</v>
      </c>
      <c r="H92" s="34">
        <f>H91-$B$94/4</f>
        <v>8</v>
      </c>
      <c r="I92" s="4" t="s">
        <v>126</v>
      </c>
    </row>
    <row r="93" spans="1:9" ht="21.75" customHeight="1" x14ac:dyDescent="0.3">
      <c r="A93" s="55"/>
      <c r="B93" s="8" t="s">
        <v>112</v>
      </c>
      <c r="C93" s="13" t="s">
        <v>9</v>
      </c>
      <c r="D93" s="28">
        <f>D92-$B$94/4</f>
        <v>-12</v>
      </c>
      <c r="E93" s="28">
        <f>E92-$B$94/4</f>
        <v>-8</v>
      </c>
      <c r="F93" s="28">
        <f>F92-$B$94/4</f>
        <v>-4</v>
      </c>
      <c r="G93" s="28">
        <f>D90</f>
        <v>0</v>
      </c>
      <c r="H93" s="34">
        <f>H92-$B$94/4</f>
        <v>4</v>
      </c>
      <c r="I93" s="5" t="s">
        <v>127</v>
      </c>
    </row>
    <row r="94" spans="1:9" ht="21.75" customHeight="1" thickBot="1" x14ac:dyDescent="0.35">
      <c r="A94" s="71"/>
      <c r="B94" s="9">
        <v>16</v>
      </c>
      <c r="C94" s="14" t="s">
        <v>10</v>
      </c>
      <c r="D94" s="36">
        <f>D93-$B$94/4</f>
        <v>-16</v>
      </c>
      <c r="E94" s="36">
        <f>E93-$B$94/4</f>
        <v>-12</v>
      </c>
      <c r="F94" s="36">
        <f>F93-$B$94/4</f>
        <v>-8</v>
      </c>
      <c r="G94" s="36">
        <f>G93-$B$94/4</f>
        <v>-4</v>
      </c>
      <c r="H94" s="37">
        <f>D90</f>
        <v>0</v>
      </c>
      <c r="I94" s="5"/>
    </row>
    <row r="95" spans="1:9" ht="21.75" customHeight="1" thickTop="1" x14ac:dyDescent="0.3">
      <c r="A95" s="49" t="s">
        <v>19</v>
      </c>
      <c r="B95" s="7" t="s">
        <v>128</v>
      </c>
      <c r="C95" s="10" t="s">
        <v>34</v>
      </c>
      <c r="D95" s="45" t="s">
        <v>6</v>
      </c>
      <c r="E95" s="45" t="s">
        <v>7</v>
      </c>
      <c r="F95" s="45" t="s">
        <v>8</v>
      </c>
      <c r="G95" s="45" t="s">
        <v>9</v>
      </c>
      <c r="H95" s="51" t="s">
        <v>10</v>
      </c>
      <c r="I95" s="3" t="s">
        <v>48</v>
      </c>
    </row>
    <row r="96" spans="1:9" ht="21.75" customHeight="1" x14ac:dyDescent="0.3">
      <c r="A96" s="55"/>
      <c r="B96" s="8" t="s">
        <v>129</v>
      </c>
      <c r="C96" s="11" t="s">
        <v>33</v>
      </c>
      <c r="D96" s="46"/>
      <c r="E96" s="46"/>
      <c r="F96" s="46"/>
      <c r="G96" s="46"/>
      <c r="H96" s="52"/>
      <c r="I96" s="4" t="s">
        <v>67</v>
      </c>
    </row>
    <row r="97" spans="1:9" ht="21.75" customHeight="1" x14ac:dyDescent="0.3">
      <c r="A97" s="55"/>
      <c r="B97" s="8" t="s">
        <v>130</v>
      </c>
      <c r="C97" s="13" t="s">
        <v>6</v>
      </c>
      <c r="D97" s="28">
        <v>0</v>
      </c>
      <c r="E97" s="33">
        <f>D97+$B$101/4</f>
        <v>1.5</v>
      </c>
      <c r="F97" s="33">
        <f>E97+$B$101/4</f>
        <v>3</v>
      </c>
      <c r="G97" s="33">
        <f>F97+$B$101/4</f>
        <v>4.5</v>
      </c>
      <c r="H97" s="34">
        <f>G97+$B$101/4</f>
        <v>6</v>
      </c>
      <c r="I97" s="4" t="s">
        <v>68</v>
      </c>
    </row>
    <row r="98" spans="1:9" ht="21.75" customHeight="1" x14ac:dyDescent="0.3">
      <c r="A98" s="55"/>
      <c r="B98" s="8" t="s">
        <v>131</v>
      </c>
      <c r="C98" s="13" t="s">
        <v>7</v>
      </c>
      <c r="D98" s="33">
        <f>D97-$B$101/4</f>
        <v>-1.5</v>
      </c>
      <c r="E98" s="28">
        <f>D97</f>
        <v>0</v>
      </c>
      <c r="F98" s="33">
        <f>F97-$B$101/4</f>
        <v>1.5</v>
      </c>
      <c r="G98" s="33">
        <f>G97-$B$101/4</f>
        <v>3</v>
      </c>
      <c r="H98" s="42">
        <f>H97-$B$101/4</f>
        <v>4.5</v>
      </c>
      <c r="I98" s="4" t="s">
        <v>69</v>
      </c>
    </row>
    <row r="99" spans="1:9" ht="21.75" customHeight="1" x14ac:dyDescent="0.3">
      <c r="A99" s="55"/>
      <c r="B99" s="8"/>
      <c r="C99" s="13" t="s">
        <v>8</v>
      </c>
      <c r="D99" s="33">
        <f>D98-$B$101/4</f>
        <v>-3</v>
      </c>
      <c r="E99" s="33">
        <f>E98-$B$101/4</f>
        <v>-1.5</v>
      </c>
      <c r="F99" s="28">
        <f>D97</f>
        <v>0</v>
      </c>
      <c r="G99" s="33">
        <f>G98-$B$101/4</f>
        <v>1.5</v>
      </c>
      <c r="H99" s="42">
        <f>H98-$B$101/4</f>
        <v>3</v>
      </c>
      <c r="I99" s="4" t="s">
        <v>70</v>
      </c>
    </row>
    <row r="100" spans="1:9" ht="21.75" customHeight="1" x14ac:dyDescent="0.3">
      <c r="A100" s="55"/>
      <c r="B100" s="8"/>
      <c r="C100" s="13" t="s">
        <v>9</v>
      </c>
      <c r="D100" s="33">
        <f>D99-$B$101/4</f>
        <v>-4.5</v>
      </c>
      <c r="E100" s="33">
        <f>E99-$B$101/4</f>
        <v>-3</v>
      </c>
      <c r="F100" s="33">
        <f>F99-$B$101/4</f>
        <v>-1.5</v>
      </c>
      <c r="G100" s="28">
        <f>D97</f>
        <v>0</v>
      </c>
      <c r="H100" s="42">
        <f>H99-$B$101/4</f>
        <v>1.5</v>
      </c>
      <c r="I100" s="5" t="s">
        <v>71</v>
      </c>
    </row>
    <row r="101" spans="1:9" ht="21.75" customHeight="1" thickBot="1" x14ac:dyDescent="0.35">
      <c r="A101" s="55"/>
      <c r="B101" s="9">
        <v>6</v>
      </c>
      <c r="C101" s="14" t="s">
        <v>10</v>
      </c>
      <c r="D101" s="36">
        <f>D100-$B$101/4</f>
        <v>-6</v>
      </c>
      <c r="E101" s="43">
        <f>E100-$B$101/4</f>
        <v>-4.5</v>
      </c>
      <c r="F101" s="43">
        <f>F100-$B$101/4</f>
        <v>-3</v>
      </c>
      <c r="G101" s="43">
        <f>G100-$B$101/4</f>
        <v>-1.5</v>
      </c>
      <c r="H101" s="37">
        <f>D97</f>
        <v>0</v>
      </c>
      <c r="I101" s="16"/>
    </row>
    <row r="102" spans="1:9" ht="17.25" customHeight="1" x14ac:dyDescent="0.3">
      <c r="A102" s="55"/>
      <c r="B102" s="7" t="s">
        <v>132</v>
      </c>
      <c r="C102" s="10" t="s">
        <v>34</v>
      </c>
      <c r="D102" s="45" t="s">
        <v>6</v>
      </c>
      <c r="E102" s="45" t="s">
        <v>40</v>
      </c>
      <c r="F102" s="47" t="s">
        <v>39</v>
      </c>
      <c r="G102" s="45"/>
      <c r="H102" s="51"/>
      <c r="I102" s="3" t="s">
        <v>20</v>
      </c>
    </row>
    <row r="103" spans="1:9" ht="17.25" customHeight="1" x14ac:dyDescent="0.3">
      <c r="A103" s="55"/>
      <c r="B103" s="8" t="s">
        <v>120</v>
      </c>
      <c r="C103" s="11" t="s">
        <v>33</v>
      </c>
      <c r="D103" s="46"/>
      <c r="E103" s="46"/>
      <c r="F103" s="48"/>
      <c r="G103" s="46"/>
      <c r="H103" s="52"/>
      <c r="I103" s="4" t="s">
        <v>133</v>
      </c>
    </row>
    <row r="104" spans="1:9" ht="17.25" customHeight="1" x14ac:dyDescent="0.3">
      <c r="A104" s="55"/>
      <c r="B104" s="8" t="s">
        <v>134</v>
      </c>
      <c r="C104" s="13" t="s">
        <v>6</v>
      </c>
      <c r="D104" s="28">
        <v>0</v>
      </c>
      <c r="E104" s="33">
        <f>D104+$B$108/2</f>
        <v>2.5</v>
      </c>
      <c r="F104" s="33">
        <f>E104+$B$108/2</f>
        <v>5</v>
      </c>
      <c r="G104" s="29"/>
      <c r="H104" s="34"/>
      <c r="I104" s="5" t="s">
        <v>135</v>
      </c>
    </row>
    <row r="105" spans="1:9" ht="17.25" customHeight="1" x14ac:dyDescent="0.3">
      <c r="A105" s="55"/>
      <c r="B105" s="8" t="s">
        <v>136</v>
      </c>
      <c r="C105" s="13" t="s">
        <v>40</v>
      </c>
      <c r="D105" s="33">
        <f>D104-$B$108/2</f>
        <v>-2.5</v>
      </c>
      <c r="E105" s="28">
        <f>D104</f>
        <v>0</v>
      </c>
      <c r="F105" s="33">
        <f>E105+$B$108/2</f>
        <v>2.5</v>
      </c>
      <c r="G105" s="29"/>
      <c r="H105" s="35"/>
      <c r="I105" s="5" t="s">
        <v>137</v>
      </c>
    </row>
    <row r="106" spans="1:9" ht="17.25" customHeight="1" x14ac:dyDescent="0.3">
      <c r="A106" s="55"/>
      <c r="B106" s="8" t="s">
        <v>138</v>
      </c>
      <c r="C106" s="12" t="s">
        <v>39</v>
      </c>
      <c r="D106" s="33">
        <f>D105-$B$108/2</f>
        <v>-5</v>
      </c>
      <c r="E106" s="33">
        <f>E105-$B$108/2</f>
        <v>-2.5</v>
      </c>
      <c r="F106" s="28">
        <f>E105</f>
        <v>0</v>
      </c>
      <c r="G106" s="29"/>
      <c r="H106" s="35"/>
      <c r="I106" s="16"/>
    </row>
    <row r="107" spans="1:9" ht="17.25" customHeight="1" x14ac:dyDescent="0.3">
      <c r="A107" s="55"/>
      <c r="B107" s="8"/>
      <c r="C107" s="13"/>
      <c r="D107" s="29"/>
      <c r="E107" s="29"/>
      <c r="F107" s="29"/>
      <c r="G107" s="28"/>
      <c r="H107" s="35"/>
      <c r="I107" s="16"/>
    </row>
    <row r="108" spans="1:9" ht="17.25" customHeight="1" thickBot="1" x14ac:dyDescent="0.35">
      <c r="A108" s="71"/>
      <c r="B108" s="9">
        <v>5</v>
      </c>
      <c r="C108" s="14"/>
      <c r="D108" s="36"/>
      <c r="E108" s="31"/>
      <c r="F108" s="31"/>
      <c r="G108" s="31"/>
      <c r="H108" s="37"/>
      <c r="I108" s="16"/>
    </row>
    <row r="109" spans="1:9" ht="24" customHeight="1" thickTop="1" x14ac:dyDescent="0.3">
      <c r="A109" s="49" t="s">
        <v>139</v>
      </c>
      <c r="B109" s="7" t="s">
        <v>140</v>
      </c>
      <c r="C109" s="10" t="s">
        <v>34</v>
      </c>
      <c r="D109" s="45" t="s">
        <v>6</v>
      </c>
      <c r="E109" s="45" t="s">
        <v>40</v>
      </c>
      <c r="F109" s="45" t="s">
        <v>39</v>
      </c>
      <c r="G109" s="45"/>
      <c r="H109" s="51"/>
      <c r="I109" s="22" t="s">
        <v>72</v>
      </c>
    </row>
    <row r="110" spans="1:9" ht="24" customHeight="1" x14ac:dyDescent="0.3">
      <c r="A110" s="50"/>
      <c r="B110" s="8" t="s">
        <v>141</v>
      </c>
      <c r="C110" s="11" t="s">
        <v>33</v>
      </c>
      <c r="D110" s="46"/>
      <c r="E110" s="46"/>
      <c r="F110" s="46"/>
      <c r="G110" s="46"/>
      <c r="H110" s="52"/>
      <c r="I110" s="60" t="s">
        <v>73</v>
      </c>
    </row>
    <row r="111" spans="1:9" ht="24.75" customHeight="1" x14ac:dyDescent="0.3">
      <c r="A111" s="50"/>
      <c r="B111" s="8" t="s">
        <v>142</v>
      </c>
      <c r="C111" s="13" t="s">
        <v>6</v>
      </c>
      <c r="D111" s="28">
        <v>0</v>
      </c>
      <c r="E111" s="28">
        <f>D111+$B$115/2</f>
        <v>4</v>
      </c>
      <c r="F111" s="28">
        <f>E111+$B$115/2</f>
        <v>8</v>
      </c>
      <c r="G111" s="29"/>
      <c r="H111" s="34"/>
      <c r="I111" s="61"/>
    </row>
    <row r="112" spans="1:9" ht="24.75" customHeight="1" x14ac:dyDescent="0.3">
      <c r="A112" s="50"/>
      <c r="B112" s="8" t="s">
        <v>143</v>
      </c>
      <c r="C112" s="13" t="s">
        <v>40</v>
      </c>
      <c r="D112" s="28">
        <f>D111-$B$115/2</f>
        <v>-4</v>
      </c>
      <c r="E112" s="28">
        <f>D111</f>
        <v>0</v>
      </c>
      <c r="F112" s="28">
        <f>F111-$B$115/2</f>
        <v>4</v>
      </c>
      <c r="G112" s="29"/>
      <c r="H112" s="35"/>
      <c r="I112" s="59" t="s">
        <v>74</v>
      </c>
    </row>
    <row r="113" spans="1:10" ht="25.5" customHeight="1" x14ac:dyDescent="0.3">
      <c r="A113" s="50"/>
      <c r="B113" s="8" t="s">
        <v>144</v>
      </c>
      <c r="C113" s="13" t="s">
        <v>39</v>
      </c>
      <c r="D113" s="28">
        <f>D112-$B$115/2</f>
        <v>-8</v>
      </c>
      <c r="E113" s="28">
        <f>E112-$B$115/2</f>
        <v>-4</v>
      </c>
      <c r="F113" s="28">
        <f>D111</f>
        <v>0</v>
      </c>
      <c r="G113" s="29"/>
      <c r="H113" s="35"/>
      <c r="I113" s="58"/>
    </row>
    <row r="114" spans="1:10" ht="25.5" customHeight="1" x14ac:dyDescent="0.3">
      <c r="A114" s="50"/>
      <c r="B114" s="8"/>
      <c r="C114" s="13"/>
      <c r="D114" s="29"/>
      <c r="E114" s="29"/>
      <c r="F114" s="29"/>
      <c r="G114" s="28"/>
      <c r="H114" s="35"/>
      <c r="I114" s="24"/>
    </row>
    <row r="115" spans="1:10" ht="25.5" customHeight="1" thickBot="1" x14ac:dyDescent="0.35">
      <c r="A115" s="50"/>
      <c r="B115" s="9">
        <v>8</v>
      </c>
      <c r="C115" s="14"/>
      <c r="D115" s="36"/>
      <c r="E115" s="31"/>
      <c r="F115" s="31"/>
      <c r="G115" s="31"/>
      <c r="H115" s="37"/>
      <c r="I115" s="25"/>
    </row>
    <row r="116" spans="1:10" ht="17.25" customHeight="1" x14ac:dyDescent="0.3">
      <c r="A116" s="50"/>
      <c r="B116" s="7" t="s">
        <v>145</v>
      </c>
      <c r="C116" s="10" t="s">
        <v>34</v>
      </c>
      <c r="D116" s="45" t="s">
        <v>6</v>
      </c>
      <c r="E116" s="45" t="s">
        <v>7</v>
      </c>
      <c r="F116" s="45" t="s">
        <v>8</v>
      </c>
      <c r="G116" s="45" t="s">
        <v>9</v>
      </c>
      <c r="H116" s="51" t="s">
        <v>10</v>
      </c>
      <c r="I116" s="3" t="s">
        <v>146</v>
      </c>
    </row>
    <row r="117" spans="1:10" ht="17.25" customHeight="1" x14ac:dyDescent="0.3">
      <c r="A117" s="50"/>
      <c r="B117" s="8" t="s">
        <v>147</v>
      </c>
      <c r="C117" s="11" t="s">
        <v>33</v>
      </c>
      <c r="D117" s="46"/>
      <c r="E117" s="46"/>
      <c r="F117" s="46"/>
      <c r="G117" s="46"/>
      <c r="H117" s="52"/>
      <c r="I117" s="5" t="s">
        <v>148</v>
      </c>
    </row>
    <row r="118" spans="1:10" ht="18" customHeight="1" x14ac:dyDescent="0.3">
      <c r="A118" s="50"/>
      <c r="B118" s="8" t="s">
        <v>149</v>
      </c>
      <c r="C118" s="13" t="s">
        <v>6</v>
      </c>
      <c r="D118" s="28">
        <v>0</v>
      </c>
      <c r="E118" s="28">
        <f>D118+$B$122/4</f>
        <v>2</v>
      </c>
      <c r="F118" s="28">
        <f>E118+$B$122/4</f>
        <v>4</v>
      </c>
      <c r="G118" s="28">
        <f>F118+$B$122/4</f>
        <v>6</v>
      </c>
      <c r="H118" s="34">
        <f>G118+$B$122/4</f>
        <v>8</v>
      </c>
      <c r="I118" s="5" t="s">
        <v>150</v>
      </c>
    </row>
    <row r="119" spans="1:10" ht="18" customHeight="1" x14ac:dyDescent="0.3">
      <c r="A119" s="50"/>
      <c r="B119" s="8"/>
      <c r="C119" s="13" t="s">
        <v>7</v>
      </c>
      <c r="D119" s="28">
        <f>D118-$B$122/4</f>
        <v>-2</v>
      </c>
      <c r="E119" s="28">
        <f>D118</f>
        <v>0</v>
      </c>
      <c r="F119" s="28">
        <f>F118-$B$122/4</f>
        <v>2</v>
      </c>
      <c r="G119" s="28">
        <f>G118-$B$122/4</f>
        <v>4</v>
      </c>
      <c r="H119" s="34">
        <f>H118-$B$122/4</f>
        <v>6</v>
      </c>
      <c r="I119" s="5" t="s">
        <v>151</v>
      </c>
    </row>
    <row r="120" spans="1:10" ht="18" customHeight="1" x14ac:dyDescent="0.3">
      <c r="A120" s="50"/>
      <c r="B120" s="8"/>
      <c r="C120" s="13" t="s">
        <v>8</v>
      </c>
      <c r="D120" s="28">
        <f>D119-$B$122/4</f>
        <v>-4</v>
      </c>
      <c r="E120" s="28">
        <f>E119-$B$122/4</f>
        <v>-2</v>
      </c>
      <c r="F120" s="28">
        <f>D118</f>
        <v>0</v>
      </c>
      <c r="G120" s="28">
        <f>G119-$B$122/4</f>
        <v>2</v>
      </c>
      <c r="H120" s="34">
        <f>H119-$B$122/4</f>
        <v>4</v>
      </c>
      <c r="I120" s="5" t="s">
        <v>75</v>
      </c>
    </row>
    <row r="121" spans="1:10" ht="18" customHeight="1" x14ac:dyDescent="0.3">
      <c r="A121" s="50"/>
      <c r="B121" s="8"/>
      <c r="C121" s="13" t="s">
        <v>9</v>
      </c>
      <c r="D121" s="28">
        <f>D120-$B$122/4</f>
        <v>-6</v>
      </c>
      <c r="E121" s="28">
        <f>E120-$B$122/4</f>
        <v>-4</v>
      </c>
      <c r="F121" s="28">
        <f>F120-$B$122/4</f>
        <v>-2</v>
      </c>
      <c r="G121" s="28">
        <f>D118</f>
        <v>0</v>
      </c>
      <c r="H121" s="34">
        <f>H120-$B$122/4</f>
        <v>2</v>
      </c>
      <c r="I121" s="5"/>
    </row>
    <row r="122" spans="1:10" ht="18" customHeight="1" thickBot="1" x14ac:dyDescent="0.35">
      <c r="A122" s="50"/>
      <c r="B122" s="9">
        <v>8</v>
      </c>
      <c r="C122" s="14" t="s">
        <v>10</v>
      </c>
      <c r="D122" s="36">
        <f>D121-$B$122/4</f>
        <v>-8</v>
      </c>
      <c r="E122" s="36">
        <f>E121-$B$122/4</f>
        <v>-6</v>
      </c>
      <c r="F122" s="36">
        <f>F121-$B$122/4</f>
        <v>-4</v>
      </c>
      <c r="G122" s="36">
        <f>G121-$B$122/4</f>
        <v>-2</v>
      </c>
      <c r="H122" s="37">
        <f>D118</f>
        <v>0</v>
      </c>
      <c r="I122" s="6"/>
    </row>
    <row r="123" spans="1:10" ht="17.25" customHeight="1" x14ac:dyDescent="0.3">
      <c r="A123" s="55" t="s">
        <v>21</v>
      </c>
      <c r="B123" s="7" t="s">
        <v>152</v>
      </c>
      <c r="C123" s="10" t="s">
        <v>34</v>
      </c>
      <c r="D123" s="45" t="s">
        <v>37</v>
      </c>
      <c r="E123" s="45" t="s">
        <v>7</v>
      </c>
      <c r="F123" s="45" t="s">
        <v>8</v>
      </c>
      <c r="G123" s="45" t="s">
        <v>9</v>
      </c>
      <c r="H123" s="51" t="s">
        <v>10</v>
      </c>
      <c r="I123" s="3" t="s">
        <v>153</v>
      </c>
      <c r="J123" s="26"/>
    </row>
    <row r="124" spans="1:10" ht="17.25" customHeight="1" x14ac:dyDescent="0.3">
      <c r="A124" s="50"/>
      <c r="B124" s="8" t="s">
        <v>154</v>
      </c>
      <c r="C124" s="11" t="s">
        <v>33</v>
      </c>
      <c r="D124" s="46"/>
      <c r="E124" s="46"/>
      <c r="F124" s="46"/>
      <c r="G124" s="46"/>
      <c r="H124" s="52"/>
      <c r="I124" s="5" t="s">
        <v>155</v>
      </c>
      <c r="J124" s="26"/>
    </row>
    <row r="125" spans="1:10" ht="17.25" customHeight="1" x14ac:dyDescent="0.3">
      <c r="A125" s="50"/>
      <c r="B125" s="8" t="s">
        <v>149</v>
      </c>
      <c r="C125" s="13" t="s">
        <v>6</v>
      </c>
      <c r="D125" s="28">
        <v>0</v>
      </c>
      <c r="E125" s="33">
        <f>D125+$B$129/4</f>
        <v>7.5</v>
      </c>
      <c r="F125" s="33">
        <f>E125+$B$129/4</f>
        <v>15</v>
      </c>
      <c r="G125" s="33">
        <f>F125+$B$129/4</f>
        <v>22.5</v>
      </c>
      <c r="H125" s="42">
        <f>G125+$B$129/4</f>
        <v>30</v>
      </c>
      <c r="I125" s="5" t="s">
        <v>156</v>
      </c>
      <c r="J125" s="26"/>
    </row>
    <row r="126" spans="1:10" ht="17.25" customHeight="1" x14ac:dyDescent="0.3">
      <c r="A126" s="50"/>
      <c r="B126" s="8"/>
      <c r="C126" s="13" t="s">
        <v>7</v>
      </c>
      <c r="D126" s="33">
        <f>D125-$B$129/4</f>
        <v>-7.5</v>
      </c>
      <c r="E126" s="28">
        <f>D125</f>
        <v>0</v>
      </c>
      <c r="F126" s="33">
        <f>F125-$B$129/4</f>
        <v>7.5</v>
      </c>
      <c r="G126" s="33">
        <f>G125-$B$129/4</f>
        <v>15</v>
      </c>
      <c r="H126" s="42">
        <f>H125-$B$129/4</f>
        <v>22.5</v>
      </c>
      <c r="I126" s="5" t="s">
        <v>157</v>
      </c>
      <c r="J126" s="26"/>
    </row>
    <row r="127" spans="1:10" ht="17.25" customHeight="1" x14ac:dyDescent="0.3">
      <c r="A127" s="50"/>
      <c r="B127" s="8"/>
      <c r="C127" s="13" t="s">
        <v>8</v>
      </c>
      <c r="D127" s="33">
        <f>D126-$B$129/4</f>
        <v>-15</v>
      </c>
      <c r="E127" s="33">
        <f>E126-$B$129/4</f>
        <v>-7.5</v>
      </c>
      <c r="F127" s="28">
        <f>D125</f>
        <v>0</v>
      </c>
      <c r="G127" s="33">
        <f>G126-$B$129/4</f>
        <v>7.5</v>
      </c>
      <c r="H127" s="42">
        <f>H126-$B$129/4</f>
        <v>15</v>
      </c>
      <c r="I127" s="5" t="s">
        <v>158</v>
      </c>
      <c r="J127" s="26"/>
    </row>
    <row r="128" spans="1:10" ht="17.25" customHeight="1" x14ac:dyDescent="0.3">
      <c r="A128" s="50"/>
      <c r="B128" s="8"/>
      <c r="C128" s="13" t="s">
        <v>9</v>
      </c>
      <c r="D128" s="33">
        <f>D127-$B$129/4</f>
        <v>-22.5</v>
      </c>
      <c r="E128" s="33">
        <f>E127-$B$129/4</f>
        <v>-15</v>
      </c>
      <c r="F128" s="33">
        <f>F127-$B$129/4</f>
        <v>-7.5</v>
      </c>
      <c r="G128" s="28">
        <f>D125</f>
        <v>0</v>
      </c>
      <c r="H128" s="42">
        <f>H127-$B$129/4</f>
        <v>7.5</v>
      </c>
      <c r="I128" s="5"/>
      <c r="J128" s="26"/>
    </row>
    <row r="129" spans="1:10" ht="17.25" customHeight="1" thickBot="1" x14ac:dyDescent="0.35">
      <c r="A129" s="50"/>
      <c r="B129" s="9">
        <v>30</v>
      </c>
      <c r="C129" s="14" t="s">
        <v>10</v>
      </c>
      <c r="D129" s="43">
        <f>D128-$B$129/4</f>
        <v>-30</v>
      </c>
      <c r="E129" s="43">
        <f>E128-$B$129/4</f>
        <v>-22.5</v>
      </c>
      <c r="F129" s="43">
        <f>F128-$B$129/4</f>
        <v>-15</v>
      </c>
      <c r="G129" s="43">
        <f>G128-$B$129/4</f>
        <v>-7.5</v>
      </c>
      <c r="H129" s="37">
        <f>D125</f>
        <v>0</v>
      </c>
      <c r="I129" s="6"/>
    </row>
    <row r="130" spans="1:10" ht="17.25" customHeight="1" x14ac:dyDescent="0.3">
      <c r="A130" s="50"/>
      <c r="B130" s="7" t="s">
        <v>159</v>
      </c>
      <c r="C130" s="10" t="s">
        <v>34</v>
      </c>
      <c r="D130" s="45" t="s">
        <v>6</v>
      </c>
      <c r="E130" s="45" t="s">
        <v>7</v>
      </c>
      <c r="F130" s="45" t="s">
        <v>8</v>
      </c>
      <c r="G130" s="45" t="s">
        <v>9</v>
      </c>
      <c r="H130" s="51" t="s">
        <v>10</v>
      </c>
      <c r="I130" s="3" t="s">
        <v>22</v>
      </c>
    </row>
    <row r="131" spans="1:10" ht="17.25" customHeight="1" x14ac:dyDescent="0.3">
      <c r="A131" s="50"/>
      <c r="B131" s="8" t="s">
        <v>160</v>
      </c>
      <c r="C131" s="11" t="s">
        <v>33</v>
      </c>
      <c r="D131" s="46"/>
      <c r="E131" s="46"/>
      <c r="F131" s="46"/>
      <c r="G131" s="46"/>
      <c r="H131" s="52"/>
      <c r="I131" s="5" t="s">
        <v>50</v>
      </c>
    </row>
    <row r="132" spans="1:10" ht="17.25" customHeight="1" x14ac:dyDescent="0.3">
      <c r="A132" s="50"/>
      <c r="B132" s="8" t="s">
        <v>161</v>
      </c>
      <c r="C132" s="13" t="s">
        <v>6</v>
      </c>
      <c r="D132" s="28">
        <v>0</v>
      </c>
      <c r="E132" s="33">
        <f>D132+$B$136/4</f>
        <v>7.5</v>
      </c>
      <c r="F132" s="33">
        <f>E132+$B$136/4</f>
        <v>15</v>
      </c>
      <c r="G132" s="33">
        <f>F132+$B$136/4</f>
        <v>22.5</v>
      </c>
      <c r="H132" s="42">
        <f>G132+$B$136/4</f>
        <v>30</v>
      </c>
      <c r="I132" s="5" t="s">
        <v>23</v>
      </c>
    </row>
    <row r="133" spans="1:10" ht="17.25" customHeight="1" x14ac:dyDescent="0.3">
      <c r="A133" s="50"/>
      <c r="B133" s="8" t="s">
        <v>162</v>
      </c>
      <c r="C133" s="13" t="s">
        <v>7</v>
      </c>
      <c r="D133" s="33">
        <f>D132-$B$136/4</f>
        <v>-7.5</v>
      </c>
      <c r="E133" s="28">
        <f>D132</f>
        <v>0</v>
      </c>
      <c r="F133" s="33">
        <f>F132-$B$136/4</f>
        <v>7.5</v>
      </c>
      <c r="G133" s="33">
        <f>G132-$B$136/4</f>
        <v>15</v>
      </c>
      <c r="H133" s="42">
        <f>H132-$B$136/4</f>
        <v>22.5</v>
      </c>
      <c r="I133" s="5" t="s">
        <v>24</v>
      </c>
    </row>
    <row r="134" spans="1:10" ht="17.25" customHeight="1" x14ac:dyDescent="0.3">
      <c r="A134" s="50"/>
      <c r="B134" s="8" t="s">
        <v>145</v>
      </c>
      <c r="C134" s="13" t="s">
        <v>8</v>
      </c>
      <c r="D134" s="33">
        <f>D133-$B$136/4</f>
        <v>-15</v>
      </c>
      <c r="E134" s="33">
        <f>E133-$B$136/4</f>
        <v>-7.5</v>
      </c>
      <c r="F134" s="28">
        <f>D132</f>
        <v>0</v>
      </c>
      <c r="G134" s="33">
        <f>G133-$B$136/4</f>
        <v>7.5</v>
      </c>
      <c r="H134" s="42">
        <f>H133-$B$136/4</f>
        <v>15</v>
      </c>
      <c r="I134" s="5" t="s">
        <v>25</v>
      </c>
    </row>
    <row r="135" spans="1:10" ht="17.25" customHeight="1" x14ac:dyDescent="0.3">
      <c r="A135" s="50"/>
      <c r="B135" s="8"/>
      <c r="C135" s="13" t="s">
        <v>9</v>
      </c>
      <c r="D135" s="33">
        <f>D134-$B$136/4</f>
        <v>-22.5</v>
      </c>
      <c r="E135" s="33">
        <f>E134-$B$136/4</f>
        <v>-15</v>
      </c>
      <c r="F135" s="33">
        <f>F134-$B$136/4</f>
        <v>-7.5</v>
      </c>
      <c r="G135" s="28">
        <f>D132</f>
        <v>0</v>
      </c>
      <c r="H135" s="42">
        <f>H134-$B$136/4</f>
        <v>7.5</v>
      </c>
      <c r="I135" s="5"/>
      <c r="J135" s="26"/>
    </row>
    <row r="136" spans="1:10" ht="17.25" customHeight="1" thickBot="1" x14ac:dyDescent="0.35">
      <c r="A136" s="56"/>
      <c r="B136" s="9">
        <v>30</v>
      </c>
      <c r="C136" s="14" t="s">
        <v>10</v>
      </c>
      <c r="D136" s="43">
        <f>D135-$B$136/4</f>
        <v>-30</v>
      </c>
      <c r="E136" s="43">
        <f>E135-$B$136/4</f>
        <v>-22.5</v>
      </c>
      <c r="F136" s="43">
        <f>F135-$B$136/4</f>
        <v>-15</v>
      </c>
      <c r="G136" s="43">
        <f>G135-$B$136/4</f>
        <v>-7.5</v>
      </c>
      <c r="H136" s="37">
        <f>D132</f>
        <v>0</v>
      </c>
      <c r="I136" s="6"/>
    </row>
    <row r="137" spans="1:10" ht="17.25" customHeight="1" thickTop="1" x14ac:dyDescent="0.3">
      <c r="A137" s="49" t="s">
        <v>26</v>
      </c>
      <c r="B137" s="7"/>
      <c r="C137" s="10" t="s">
        <v>34</v>
      </c>
      <c r="D137" s="45" t="s">
        <v>6</v>
      </c>
      <c r="E137" s="45" t="s">
        <v>7</v>
      </c>
      <c r="F137" s="45" t="s">
        <v>8</v>
      </c>
      <c r="G137" s="45" t="s">
        <v>9</v>
      </c>
      <c r="H137" s="51" t="s">
        <v>10</v>
      </c>
      <c r="I137" s="65" t="s">
        <v>27</v>
      </c>
    </row>
    <row r="138" spans="1:10" ht="17.25" customHeight="1" x14ac:dyDescent="0.3">
      <c r="A138" s="55"/>
      <c r="B138" s="8"/>
      <c r="C138" s="11" t="s">
        <v>33</v>
      </c>
      <c r="D138" s="46"/>
      <c r="E138" s="46"/>
      <c r="F138" s="46"/>
      <c r="G138" s="46"/>
      <c r="H138" s="52"/>
      <c r="I138" s="66"/>
    </row>
    <row r="139" spans="1:10" ht="17.25" customHeight="1" x14ac:dyDescent="0.3">
      <c r="A139" s="55"/>
      <c r="B139" s="8"/>
      <c r="C139" s="13" t="s">
        <v>6</v>
      </c>
      <c r="D139" s="33">
        <v>0</v>
      </c>
      <c r="E139" s="33">
        <f>D139+$B$143/4</f>
        <v>7.5</v>
      </c>
      <c r="F139" s="33">
        <f>E139+$B$143/4</f>
        <v>15</v>
      </c>
      <c r="G139" s="33">
        <f>F139+$B$143/4</f>
        <v>22.5</v>
      </c>
      <c r="H139" s="42">
        <f>G139+$B$143/4</f>
        <v>30</v>
      </c>
      <c r="I139" s="66"/>
    </row>
    <row r="140" spans="1:10" ht="17.25" customHeight="1" x14ac:dyDescent="0.3">
      <c r="A140" s="55"/>
      <c r="B140" s="8"/>
      <c r="C140" s="13" t="s">
        <v>7</v>
      </c>
      <c r="D140" s="33">
        <f>D139-$B$143/4</f>
        <v>-7.5</v>
      </c>
      <c r="E140" s="33">
        <f>D139</f>
        <v>0</v>
      </c>
      <c r="F140" s="33">
        <f>F139-$B$143/4</f>
        <v>7.5</v>
      </c>
      <c r="G140" s="33">
        <f>G139-$B$143/4</f>
        <v>15</v>
      </c>
      <c r="H140" s="42">
        <f>G140+$B$143/4</f>
        <v>22.5</v>
      </c>
      <c r="I140" s="66"/>
    </row>
    <row r="141" spans="1:10" ht="17.25" customHeight="1" x14ac:dyDescent="0.3">
      <c r="A141" s="55"/>
      <c r="B141" s="8"/>
      <c r="C141" s="13" t="s">
        <v>8</v>
      </c>
      <c r="D141" s="33">
        <f>D140-$B$143/4</f>
        <v>-15</v>
      </c>
      <c r="E141" s="33">
        <f>E140-$B$143/4</f>
        <v>-7.5</v>
      </c>
      <c r="F141" s="33">
        <f>D139</f>
        <v>0</v>
      </c>
      <c r="G141" s="33">
        <f>G140-$B$143/4</f>
        <v>7.5</v>
      </c>
      <c r="H141" s="42">
        <f>G141+$B$143/4</f>
        <v>15</v>
      </c>
      <c r="I141" s="66"/>
    </row>
    <row r="142" spans="1:10" ht="17.25" customHeight="1" x14ac:dyDescent="0.3">
      <c r="A142" s="55"/>
      <c r="B142" s="8"/>
      <c r="C142" s="13" t="s">
        <v>9</v>
      </c>
      <c r="D142" s="33">
        <f>D141-$B$143/4</f>
        <v>-22.5</v>
      </c>
      <c r="E142" s="33">
        <f>E141-$B$143/4</f>
        <v>-15</v>
      </c>
      <c r="F142" s="33">
        <f>F141-$B$143/4</f>
        <v>-7.5</v>
      </c>
      <c r="G142" s="33">
        <f>D139</f>
        <v>0</v>
      </c>
      <c r="H142" s="42">
        <f>G142+$B$143/4</f>
        <v>7.5</v>
      </c>
      <c r="I142" s="66"/>
    </row>
    <row r="143" spans="1:10" ht="17.25" customHeight="1" thickBot="1" x14ac:dyDescent="0.35">
      <c r="A143" s="70"/>
      <c r="B143" s="9">
        <v>30</v>
      </c>
      <c r="C143" s="14" t="s">
        <v>10</v>
      </c>
      <c r="D143" s="43">
        <f>D142-$B$143/4</f>
        <v>-30</v>
      </c>
      <c r="E143" s="43">
        <f>E142-$B$143/4</f>
        <v>-22.5</v>
      </c>
      <c r="F143" s="43">
        <f>F142-$B$143/4</f>
        <v>-15</v>
      </c>
      <c r="G143" s="43">
        <f>G142-$B$143/4</f>
        <v>-7.5</v>
      </c>
      <c r="H143" s="44">
        <f>D139</f>
        <v>0</v>
      </c>
      <c r="I143" s="67"/>
    </row>
    <row r="144" spans="1:10" x14ac:dyDescent="0.3">
      <c r="A144" s="68" t="s">
        <v>28</v>
      </c>
      <c r="B144" s="69"/>
    </row>
    <row r="145" spans="1:9" s="27" customFormat="1" x14ac:dyDescent="0.3">
      <c r="A145" s="62" t="s">
        <v>163</v>
      </c>
      <c r="B145" s="64"/>
      <c r="C145" s="64"/>
      <c r="D145" s="64"/>
      <c r="E145" s="64"/>
      <c r="F145" s="64"/>
      <c r="G145" s="64"/>
      <c r="H145" s="64"/>
      <c r="I145" s="64"/>
    </row>
    <row r="146" spans="1:9" s="27" customFormat="1" ht="33" customHeight="1" x14ac:dyDescent="0.3">
      <c r="A146" s="62" t="s">
        <v>164</v>
      </c>
      <c r="B146" s="64"/>
      <c r="C146" s="64"/>
      <c r="D146" s="64"/>
      <c r="E146" s="64"/>
      <c r="F146" s="64"/>
      <c r="G146" s="64"/>
      <c r="H146" s="64"/>
      <c r="I146" s="64"/>
    </row>
    <row r="147" spans="1:9" s="27" customFormat="1" ht="16.5" customHeight="1" x14ac:dyDescent="0.3">
      <c r="A147" s="62" t="s">
        <v>165</v>
      </c>
      <c r="B147" s="64"/>
      <c r="C147" s="64"/>
      <c r="D147" s="64"/>
      <c r="E147" s="64"/>
      <c r="F147" s="64"/>
      <c r="G147" s="64"/>
      <c r="H147" s="64"/>
      <c r="I147" s="64"/>
    </row>
    <row r="148" spans="1:9" s="27" customFormat="1" ht="49.5" customHeight="1" x14ac:dyDescent="0.3">
      <c r="A148" s="62" t="s">
        <v>29</v>
      </c>
      <c r="B148" s="64"/>
      <c r="C148" s="64"/>
      <c r="D148" s="64"/>
      <c r="E148" s="64"/>
      <c r="F148" s="64"/>
      <c r="G148" s="64"/>
      <c r="H148" s="64"/>
      <c r="I148" s="64"/>
    </row>
    <row r="149" spans="1:9" s="27" customFormat="1" x14ac:dyDescent="0.3">
      <c r="A149" s="62" t="s">
        <v>30</v>
      </c>
      <c r="B149" s="64"/>
      <c r="C149" s="64"/>
      <c r="D149" s="64"/>
      <c r="E149" s="64"/>
      <c r="F149" s="64"/>
      <c r="G149" s="64"/>
      <c r="H149" s="64"/>
      <c r="I149" s="64"/>
    </row>
    <row r="150" spans="1:9" s="27" customFormat="1" x14ac:dyDescent="0.3">
      <c r="A150" s="62" t="s">
        <v>31</v>
      </c>
      <c r="B150" s="64"/>
      <c r="C150" s="64"/>
      <c r="D150" s="64"/>
      <c r="E150" s="64"/>
      <c r="F150" s="64"/>
      <c r="G150" s="64"/>
      <c r="H150" s="64"/>
      <c r="I150" s="64"/>
    </row>
    <row r="151" spans="1:9" s="27" customFormat="1" ht="15.75" customHeight="1" x14ac:dyDescent="0.3">
      <c r="A151" s="62" t="s">
        <v>32</v>
      </c>
      <c r="B151" s="64"/>
      <c r="C151" s="64"/>
      <c r="D151" s="64"/>
      <c r="E151" s="64"/>
      <c r="F151" s="64"/>
      <c r="G151" s="64"/>
      <c r="H151" s="64"/>
      <c r="I151" s="64"/>
    </row>
    <row r="152" spans="1:9" s="27" customFormat="1" ht="49.5" customHeight="1" x14ac:dyDescent="0.3">
      <c r="A152" s="62" t="s">
        <v>166</v>
      </c>
      <c r="B152" s="63"/>
      <c r="C152" s="63"/>
      <c r="D152" s="63"/>
      <c r="E152" s="63"/>
      <c r="F152" s="63"/>
      <c r="G152" s="63"/>
      <c r="H152" s="63"/>
      <c r="I152" s="63"/>
    </row>
  </sheetData>
  <mergeCells count="129">
    <mergeCell ref="I2:I3"/>
    <mergeCell ref="C3:H3"/>
    <mergeCell ref="G4:G5"/>
    <mergeCell ref="H4:H5"/>
    <mergeCell ref="E46:E47"/>
    <mergeCell ref="D25:D26"/>
    <mergeCell ref="G46:G47"/>
    <mergeCell ref="H46:H47"/>
    <mergeCell ref="F4:F5"/>
    <mergeCell ref="F18:F19"/>
    <mergeCell ref="E25:E26"/>
    <mergeCell ref="G25:G26"/>
    <mergeCell ref="G18:G19"/>
    <mergeCell ref="D18:D19"/>
    <mergeCell ref="E18:E19"/>
    <mergeCell ref="I25:I27"/>
    <mergeCell ref="A2:A3"/>
    <mergeCell ref="B2:B3"/>
    <mergeCell ref="C2:H2"/>
    <mergeCell ref="D11:D12"/>
    <mergeCell ref="E11:E12"/>
    <mergeCell ref="F11:F12"/>
    <mergeCell ref="F46:F47"/>
    <mergeCell ref="E32:E33"/>
    <mergeCell ref="E39:E40"/>
    <mergeCell ref="H32:H33"/>
    <mergeCell ref="G11:G12"/>
    <mergeCell ref="H11:H12"/>
    <mergeCell ref="G32:G33"/>
    <mergeCell ref="G39:G40"/>
    <mergeCell ref="H39:H40"/>
    <mergeCell ref="H25:H26"/>
    <mergeCell ref="D4:D5"/>
    <mergeCell ref="E4:E5"/>
    <mergeCell ref="D32:D33"/>
    <mergeCell ref="A4:A45"/>
    <mergeCell ref="D39:D40"/>
    <mergeCell ref="F81:F82"/>
    <mergeCell ref="G81:G82"/>
    <mergeCell ref="A46:A59"/>
    <mergeCell ref="D46:D47"/>
    <mergeCell ref="H18:H19"/>
    <mergeCell ref="F25:F26"/>
    <mergeCell ref="D53:D54"/>
    <mergeCell ref="E53:E54"/>
    <mergeCell ref="H53:H54"/>
    <mergeCell ref="F53:F54"/>
    <mergeCell ref="F32:F33"/>
    <mergeCell ref="F39:F40"/>
    <mergeCell ref="G53:G54"/>
    <mergeCell ref="D67:D68"/>
    <mergeCell ref="E67:E68"/>
    <mergeCell ref="D95:D96"/>
    <mergeCell ref="E95:E96"/>
    <mergeCell ref="I81:I82"/>
    <mergeCell ref="D74:D75"/>
    <mergeCell ref="A88:A94"/>
    <mergeCell ref="D88:D89"/>
    <mergeCell ref="E88:E89"/>
    <mergeCell ref="D81:D82"/>
    <mergeCell ref="E81:E82"/>
    <mergeCell ref="E74:E75"/>
    <mergeCell ref="F74:F75"/>
    <mergeCell ref="A60:A87"/>
    <mergeCell ref="D60:D61"/>
    <mergeCell ref="E60:E61"/>
    <mergeCell ref="F60:F61"/>
    <mergeCell ref="G67:G68"/>
    <mergeCell ref="H67:H68"/>
    <mergeCell ref="G74:G75"/>
    <mergeCell ref="H74:H75"/>
    <mergeCell ref="H81:H82"/>
    <mergeCell ref="G60:G61"/>
    <mergeCell ref="H60:H61"/>
    <mergeCell ref="F67:F68"/>
    <mergeCell ref="F88:F89"/>
    <mergeCell ref="F137:F138"/>
    <mergeCell ref="G137:G138"/>
    <mergeCell ref="E137:E138"/>
    <mergeCell ref="A152:I152"/>
    <mergeCell ref="E130:E131"/>
    <mergeCell ref="F130:F131"/>
    <mergeCell ref="G130:G131"/>
    <mergeCell ref="H130:H131"/>
    <mergeCell ref="A151:I151"/>
    <mergeCell ref="A150:I150"/>
    <mergeCell ref="A148:I148"/>
    <mergeCell ref="I137:I143"/>
    <mergeCell ref="D137:D138"/>
    <mergeCell ref="A147:I147"/>
    <mergeCell ref="A149:I149"/>
    <mergeCell ref="A144:B144"/>
    <mergeCell ref="A145:I145"/>
    <mergeCell ref="A146:I146"/>
    <mergeCell ref="A137:A143"/>
    <mergeCell ref="H137:H138"/>
    <mergeCell ref="G88:G89"/>
    <mergeCell ref="H88:H89"/>
    <mergeCell ref="H95:H96"/>
    <mergeCell ref="G102:G103"/>
    <mergeCell ref="H102:H103"/>
    <mergeCell ref="G123:G124"/>
    <mergeCell ref="H123:H124"/>
    <mergeCell ref="A1:I1"/>
    <mergeCell ref="A123:A136"/>
    <mergeCell ref="D123:D124"/>
    <mergeCell ref="E123:E124"/>
    <mergeCell ref="F95:F96"/>
    <mergeCell ref="G95:G96"/>
    <mergeCell ref="G116:G117"/>
    <mergeCell ref="I74:I75"/>
    <mergeCell ref="G109:G110"/>
    <mergeCell ref="H109:H110"/>
    <mergeCell ref="D130:D131"/>
    <mergeCell ref="I112:I113"/>
    <mergeCell ref="D116:D117"/>
    <mergeCell ref="E116:E117"/>
    <mergeCell ref="F116:F117"/>
    <mergeCell ref="I110:I111"/>
    <mergeCell ref="A95:A108"/>
    <mergeCell ref="D109:D110"/>
    <mergeCell ref="F123:F124"/>
    <mergeCell ref="D102:D103"/>
    <mergeCell ref="F102:F103"/>
    <mergeCell ref="A109:A122"/>
    <mergeCell ref="E109:E110"/>
    <mergeCell ref="F109:F110"/>
    <mergeCell ref="E102:E103"/>
    <mergeCell ref="H116:H117"/>
  </mergeCells>
  <phoneticPr fontId="4" type="noConversion"/>
  <printOptions horizontalCentered="1"/>
  <pageMargins left="0.6692913385826772" right="0.47244094488188981" top="1.0236220472440944" bottom="0.55118110236220474" header="0.51181102362204722" footer="0.31496062992125984"/>
  <pageSetup paperSize="9" scale="90" orientation="portrait" r:id="rId1"/>
  <headerFooter alignWithMargins="0">
    <oddFooter>&amp;C第&amp;P頁，共&amp;N頁&amp;R&amp;8　1040529（土地徵收補償市價查估用）</oddFooter>
  </headerFooter>
  <rowBreaks count="3" manualBreakCount="3">
    <brk id="45" max="16383" man="1"/>
    <brk id="87" max="16383" man="1"/>
    <brk id="12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商業個別</vt:lpstr>
      <vt:lpstr>商業個別!_Hlk320279254</vt:lpstr>
      <vt:lpstr>商業個別!OLE_LINK4</vt:lpstr>
      <vt:lpstr>商業個別!OLE_LINK5</vt:lpstr>
      <vt:lpstr>商業個別!Print_Titles</vt:lpstr>
    </vt:vector>
  </TitlesOfParts>
  <Company>安南地政事務所</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val</cp:lastModifiedBy>
  <cp:lastPrinted>2015-05-28T01:04:37Z</cp:lastPrinted>
  <dcterms:created xsi:type="dcterms:W3CDTF">2012-07-25T05:45:35Z</dcterms:created>
  <dcterms:modified xsi:type="dcterms:W3CDTF">2015-05-28T01:05:48Z</dcterms:modified>
</cp:coreProperties>
</file>