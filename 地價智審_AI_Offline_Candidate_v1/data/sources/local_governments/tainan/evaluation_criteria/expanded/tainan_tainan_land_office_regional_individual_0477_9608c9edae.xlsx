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ser3\Documents\中西區\商業用地(104)\中度商業用地\"/>
    </mc:Choice>
  </mc:AlternateContent>
  <bookViews>
    <workbookView xWindow="120" yWindow="60" windowWidth="14952" windowHeight="8676"/>
  </bookViews>
  <sheets>
    <sheet name="臺南市中西區影響中度商業用地區域因素評價基準明細表" sheetId="6" r:id="rId1"/>
  </sheets>
  <definedNames>
    <definedName name="_Hlk320279254" localSheetId="0">臺南市中西區影響中度商業用地區域因素評價基準明細表!$C$12</definedName>
    <definedName name="OLE_LINK3" localSheetId="0">臺南市中西區影響中度商業用地區域因素評價基準明細表!#REF!</definedName>
    <definedName name="OLE_LINK4" localSheetId="0">臺南市中西區影響中度商業用地區域因素評價基準明細表!$I$31</definedName>
    <definedName name="OLE_LINK5" localSheetId="0">臺南市中西區影響中度商業用地區域因素評價基準明細表!$I$38</definedName>
    <definedName name="_xlnm.Print_Area" localSheetId="0">臺南市中西區影響中度商業用地區域因素評價基準明細表!$A$1:$I$208</definedName>
    <definedName name="_xlnm.Print_Titles" localSheetId="0">臺南市中西區影響中度商業用地區域因素評價基準明細表!$1:$2</definedName>
  </definedNames>
  <calcPr calcId="152511"/>
</workbook>
</file>

<file path=xl/calcChain.xml><?xml version="1.0" encoding="utf-8"?>
<calcChain xmlns="http://schemas.openxmlformats.org/spreadsheetml/2006/main">
  <c r="H163" i="6" l="1"/>
  <c r="G162" i="6"/>
  <c r="G163" i="6"/>
  <c r="F161" i="6"/>
  <c r="F162" i="6" s="1"/>
  <c r="F163" i="6" s="1"/>
  <c r="D161" i="6"/>
  <c r="D162" i="6" s="1"/>
  <c r="D163" i="6" s="1"/>
  <c r="E160" i="6"/>
  <c r="E161" i="6"/>
  <c r="E162" i="6" s="1"/>
  <c r="E163" i="6" s="1"/>
  <c r="D160" i="6"/>
  <c r="F159" i="6"/>
  <c r="G159" i="6" s="1"/>
  <c r="H159" i="6" s="1"/>
  <c r="E159" i="6"/>
  <c r="H156" i="6"/>
  <c r="G155" i="6"/>
  <c r="G156" i="6" s="1"/>
  <c r="F155" i="6"/>
  <c r="F156" i="6"/>
  <c r="F154" i="6"/>
  <c r="E153" i="6"/>
  <c r="E154" i="6"/>
  <c r="E155" i="6"/>
  <c r="E156" i="6" s="1"/>
  <c r="D153" i="6"/>
  <c r="D154" i="6"/>
  <c r="D155" i="6"/>
  <c r="D156" i="6" s="1"/>
  <c r="E152" i="6"/>
  <c r="F152" i="6"/>
  <c r="G152" i="6"/>
  <c r="G153" i="6" s="1"/>
  <c r="G154" i="6" s="1"/>
  <c r="D195" i="6"/>
  <c r="D196" i="6" s="1"/>
  <c r="D197" i="6" s="1"/>
  <c r="D198" i="6" s="1"/>
  <c r="E194" i="6"/>
  <c r="F194" i="6" s="1"/>
  <c r="G194" i="6" s="1"/>
  <c r="H194" i="6" s="1"/>
  <c r="D188" i="6"/>
  <c r="D189" i="6" s="1"/>
  <c r="D190" i="6" s="1"/>
  <c r="D191" i="6" s="1"/>
  <c r="E187" i="6"/>
  <c r="F187" i="6" s="1"/>
  <c r="G187" i="6" s="1"/>
  <c r="H187" i="6" s="1"/>
  <c r="D181" i="6"/>
  <c r="D182" i="6" s="1"/>
  <c r="D183" i="6" s="1"/>
  <c r="D184" i="6" s="1"/>
  <c r="E180" i="6"/>
  <c r="F180" i="6" s="1"/>
  <c r="G180" i="6" s="1"/>
  <c r="H180" i="6" s="1"/>
  <c r="D174" i="6"/>
  <c r="D175" i="6" s="1"/>
  <c r="D176" i="6" s="1"/>
  <c r="D177" i="6" s="1"/>
  <c r="E173" i="6"/>
  <c r="F173" i="6" s="1"/>
  <c r="G173" i="6" s="1"/>
  <c r="H173" i="6" s="1"/>
  <c r="D167" i="6"/>
  <c r="D168" i="6" s="1"/>
  <c r="D169" i="6" s="1"/>
  <c r="D170" i="6" s="1"/>
  <c r="E166" i="6"/>
  <c r="F166" i="6" s="1"/>
  <c r="G166" i="6" s="1"/>
  <c r="H166" i="6" s="1"/>
  <c r="H198" i="6"/>
  <c r="G197" i="6"/>
  <c r="H197" i="6"/>
  <c r="F196" i="6"/>
  <c r="E195" i="6"/>
  <c r="E196" i="6"/>
  <c r="E197" i="6" s="1"/>
  <c r="E198" i="6" s="1"/>
  <c r="H191" i="6"/>
  <c r="G190" i="6"/>
  <c r="F189" i="6"/>
  <c r="F190" i="6"/>
  <c r="F191" i="6"/>
  <c r="E188" i="6"/>
  <c r="H184" i="6"/>
  <c r="G183" i="6"/>
  <c r="G184" i="6" s="1"/>
  <c r="H183" i="6"/>
  <c r="F182" i="6"/>
  <c r="F183" i="6"/>
  <c r="F184" i="6"/>
  <c r="E181" i="6"/>
  <c r="F181" i="6" s="1"/>
  <c r="G181" i="6" s="1"/>
  <c r="H181" i="6" s="1"/>
  <c r="H177" i="6"/>
  <c r="G176" i="6"/>
  <c r="G177" i="6"/>
  <c r="F175" i="6"/>
  <c r="E174" i="6"/>
  <c r="E175" i="6"/>
  <c r="E176" i="6" s="1"/>
  <c r="E177" i="6" s="1"/>
  <c r="H170" i="6"/>
  <c r="G169" i="6"/>
  <c r="F168" i="6"/>
  <c r="F169" i="6"/>
  <c r="F170" i="6"/>
  <c r="E167" i="6"/>
  <c r="F167" i="6" s="1"/>
  <c r="G167" i="6" s="1"/>
  <c r="H167" i="6" s="1"/>
  <c r="H205" i="6"/>
  <c r="G204" i="6"/>
  <c r="F203" i="6"/>
  <c r="F204" i="6"/>
  <c r="F205" i="6" s="1"/>
  <c r="E202" i="6"/>
  <c r="E203" i="6"/>
  <c r="E204" i="6"/>
  <c r="E205" i="6" s="1"/>
  <c r="D202" i="6"/>
  <c r="D203" i="6"/>
  <c r="D204" i="6"/>
  <c r="D205" i="6" s="1"/>
  <c r="E201" i="6"/>
  <c r="F201" i="6"/>
  <c r="G201" i="6"/>
  <c r="H149" i="6"/>
  <c r="G148" i="6"/>
  <c r="G149" i="6"/>
  <c r="F147" i="6"/>
  <c r="E146" i="6"/>
  <c r="D146" i="6"/>
  <c r="D147" i="6" s="1"/>
  <c r="D148" i="6" s="1"/>
  <c r="D149" i="6" s="1"/>
  <c r="E145" i="6"/>
  <c r="F145" i="6" s="1"/>
  <c r="G145" i="6" s="1"/>
  <c r="H145" i="6" s="1"/>
  <c r="H142" i="6"/>
  <c r="G141" i="6"/>
  <c r="G142" i="6" s="1"/>
  <c r="F140" i="6"/>
  <c r="F141" i="6"/>
  <c r="F142" i="6" s="1"/>
  <c r="E139" i="6"/>
  <c r="E140" i="6"/>
  <c r="E141" i="6"/>
  <c r="E142" i="6" s="1"/>
  <c r="D139" i="6"/>
  <c r="D140" i="6"/>
  <c r="D141" i="6"/>
  <c r="D142" i="6" s="1"/>
  <c r="E138" i="6"/>
  <c r="F138" i="6" s="1"/>
  <c r="G138" i="6" s="1"/>
  <c r="H138" i="6" s="1"/>
  <c r="H135" i="6"/>
  <c r="G134" i="6"/>
  <c r="G135" i="6"/>
  <c r="F133" i="6"/>
  <c r="F134" i="6"/>
  <c r="F135" i="6" s="1"/>
  <c r="E132" i="6"/>
  <c r="E133" i="6" s="1"/>
  <c r="E134" i="6" s="1"/>
  <c r="E135" i="6" s="1"/>
  <c r="D132" i="6"/>
  <c r="D133" i="6" s="1"/>
  <c r="D134" i="6" s="1"/>
  <c r="D135" i="6" s="1"/>
  <c r="E131" i="6"/>
  <c r="F131" i="6" s="1"/>
  <c r="H128" i="6"/>
  <c r="G127" i="6"/>
  <c r="G128" i="6"/>
  <c r="F126" i="6"/>
  <c r="F127" i="6" s="1"/>
  <c r="F128" i="6" s="1"/>
  <c r="E125" i="6"/>
  <c r="E126" i="6" s="1"/>
  <c r="E127" i="6" s="1"/>
  <c r="E128" i="6" s="1"/>
  <c r="D125" i="6"/>
  <c r="D126" i="6" s="1"/>
  <c r="D127" i="6" s="1"/>
  <c r="D128" i="6" s="1"/>
  <c r="E124" i="6"/>
  <c r="F124" i="6" s="1"/>
  <c r="F125" i="6" s="1"/>
  <c r="H121" i="6"/>
  <c r="G120" i="6"/>
  <c r="G121" i="6" s="1"/>
  <c r="F119" i="6"/>
  <c r="F120" i="6"/>
  <c r="F121" i="6"/>
  <c r="E118" i="6"/>
  <c r="E119" i="6" s="1"/>
  <c r="E120" i="6" s="1"/>
  <c r="E121" i="6"/>
  <c r="D118" i="6"/>
  <c r="D119" i="6" s="1"/>
  <c r="D120" i="6" s="1"/>
  <c r="D121" i="6" s="1"/>
  <c r="E117" i="6"/>
  <c r="F117" i="6" s="1"/>
  <c r="H114" i="6"/>
  <c r="G113" i="6"/>
  <c r="G114" i="6" s="1"/>
  <c r="F112" i="6"/>
  <c r="F113" i="6"/>
  <c r="F114" i="6"/>
  <c r="E111" i="6"/>
  <c r="E112" i="6" s="1"/>
  <c r="E113" i="6" s="1"/>
  <c r="E114" i="6" s="1"/>
  <c r="D111" i="6"/>
  <c r="D112" i="6" s="1"/>
  <c r="D113" i="6" s="1"/>
  <c r="D114" i="6"/>
  <c r="E110" i="6"/>
  <c r="F110" i="6" s="1"/>
  <c r="H107" i="6"/>
  <c r="G106" i="6"/>
  <c r="G107" i="6" s="1"/>
  <c r="F105" i="6"/>
  <c r="F106" i="6"/>
  <c r="F107" i="6"/>
  <c r="E104" i="6"/>
  <c r="E105" i="6" s="1"/>
  <c r="E106" i="6" s="1"/>
  <c r="E107" i="6"/>
  <c r="D104" i="6"/>
  <c r="D105" i="6" s="1"/>
  <c r="D106" i="6" s="1"/>
  <c r="D107" i="6" s="1"/>
  <c r="E103" i="6"/>
  <c r="F103" i="6" s="1"/>
  <c r="G103" i="6" s="1"/>
  <c r="G104" i="6"/>
  <c r="G105" i="6" s="1"/>
  <c r="H100" i="6"/>
  <c r="G99" i="6"/>
  <c r="G100" i="6"/>
  <c r="F98" i="6"/>
  <c r="F99" i="6" s="1"/>
  <c r="F100" i="6" s="1"/>
  <c r="E97" i="6"/>
  <c r="D97" i="6"/>
  <c r="D98" i="6" s="1"/>
  <c r="D99" i="6" s="1"/>
  <c r="D100" i="6"/>
  <c r="E96" i="6"/>
  <c r="F96" i="6" s="1"/>
  <c r="G96" i="6" s="1"/>
  <c r="H96" i="6" s="1"/>
  <c r="F91" i="6"/>
  <c r="E90" i="6"/>
  <c r="G79" i="6"/>
  <c r="H78" i="6"/>
  <c r="F78" i="6"/>
  <c r="F79" i="6" s="1"/>
  <c r="G77" i="6"/>
  <c r="H77" i="6"/>
  <c r="E77" i="6"/>
  <c r="E78" i="6" s="1"/>
  <c r="E79" i="6" s="1"/>
  <c r="F76" i="6"/>
  <c r="G76" i="6" s="1"/>
  <c r="H76" i="6" s="1"/>
  <c r="D76" i="6"/>
  <c r="D77" i="6"/>
  <c r="D78" i="6" s="1"/>
  <c r="D79" i="6" s="1"/>
  <c r="E75" i="6"/>
  <c r="F75" i="6"/>
  <c r="G75" i="6" s="1"/>
  <c r="H75" i="6" s="1"/>
  <c r="G72" i="6"/>
  <c r="H71" i="6"/>
  <c r="F71" i="6"/>
  <c r="F72" i="6" s="1"/>
  <c r="G70" i="6"/>
  <c r="H70" i="6"/>
  <c r="E70" i="6"/>
  <c r="E71" i="6" s="1"/>
  <c r="E72" i="6" s="1"/>
  <c r="F69" i="6"/>
  <c r="G69" i="6" s="1"/>
  <c r="H69" i="6" s="1"/>
  <c r="D69" i="6"/>
  <c r="D70" i="6"/>
  <c r="D71" i="6" s="1"/>
  <c r="D72" i="6" s="1"/>
  <c r="E68" i="6"/>
  <c r="F68" i="6"/>
  <c r="G68" i="6" s="1"/>
  <c r="H68" i="6" s="1"/>
  <c r="F64" i="6"/>
  <c r="F65" i="6"/>
  <c r="G63" i="6"/>
  <c r="E63" i="6"/>
  <c r="E64" i="6"/>
  <c r="E65" i="6"/>
  <c r="F62" i="6"/>
  <c r="G62" i="6" s="1"/>
  <c r="H62" i="6" s="1"/>
  <c r="D62" i="6"/>
  <c r="D63" i="6" s="1"/>
  <c r="D64" i="6" s="1"/>
  <c r="D65" i="6" s="1"/>
  <c r="E61" i="6"/>
  <c r="F61" i="6" s="1"/>
  <c r="G61" i="6" s="1"/>
  <c r="H61" i="6" s="1"/>
  <c r="G58" i="6"/>
  <c r="H57" i="6"/>
  <c r="F57" i="6"/>
  <c r="F58" i="6"/>
  <c r="G56" i="6"/>
  <c r="H56" i="6" s="1"/>
  <c r="E56" i="6"/>
  <c r="E57" i="6"/>
  <c r="E58" i="6"/>
  <c r="F55" i="6"/>
  <c r="G55" i="6" s="1"/>
  <c r="H55" i="6" s="1"/>
  <c r="D55" i="6"/>
  <c r="D56" i="6" s="1"/>
  <c r="D57" i="6" s="1"/>
  <c r="D58" i="6" s="1"/>
  <c r="E54" i="6"/>
  <c r="F54" i="6" s="1"/>
  <c r="G54" i="6" s="1"/>
  <c r="H54" i="6" s="1"/>
  <c r="G51" i="6"/>
  <c r="H50" i="6"/>
  <c r="F50" i="6"/>
  <c r="F51" i="6"/>
  <c r="G49" i="6"/>
  <c r="H49" i="6" s="1"/>
  <c r="E49" i="6"/>
  <c r="E50" i="6"/>
  <c r="E51" i="6"/>
  <c r="F48" i="6"/>
  <c r="G48" i="6"/>
  <c r="H48" i="6" s="1"/>
  <c r="D48" i="6"/>
  <c r="D49" i="6" s="1"/>
  <c r="D50" i="6" s="1"/>
  <c r="D51" i="6" s="1"/>
  <c r="E47" i="6"/>
  <c r="F47" i="6" s="1"/>
  <c r="G47" i="6" s="1"/>
  <c r="H47" i="6" s="1"/>
  <c r="H44" i="6"/>
  <c r="G43" i="6"/>
  <c r="G44" i="6"/>
  <c r="F42" i="6"/>
  <c r="F43" i="6"/>
  <c r="F44" i="6" s="1"/>
  <c r="E41" i="6"/>
  <c r="D41" i="6"/>
  <c r="D42" i="6"/>
  <c r="D43" i="6" s="1"/>
  <c r="D44" i="6" s="1"/>
  <c r="E40" i="6"/>
  <c r="F40" i="6"/>
  <c r="G40" i="6" s="1"/>
  <c r="H40" i="6" s="1"/>
  <c r="H37" i="6"/>
  <c r="D37" i="6"/>
  <c r="H33" i="6"/>
  <c r="H30" i="6"/>
  <c r="G29" i="6"/>
  <c r="G30" i="6"/>
  <c r="F28" i="6"/>
  <c r="F29" i="6"/>
  <c r="F30" i="6" s="1"/>
  <c r="E27" i="6"/>
  <c r="D27" i="6"/>
  <c r="D28" i="6" s="1"/>
  <c r="D29" i="6" s="1"/>
  <c r="D30" i="6" s="1"/>
  <c r="E26" i="6"/>
  <c r="F26" i="6" s="1"/>
  <c r="G26" i="6" s="1"/>
  <c r="H26" i="6" s="1"/>
  <c r="H23" i="6"/>
  <c r="G22" i="6"/>
  <c r="F21" i="6"/>
  <c r="F22" i="6" s="1"/>
  <c r="F23" i="6" s="1"/>
  <c r="E20" i="6"/>
  <c r="E21" i="6" s="1"/>
  <c r="E22" i="6" s="1"/>
  <c r="E23" i="6"/>
  <c r="D20" i="6"/>
  <c r="D21" i="6" s="1"/>
  <c r="D22" i="6" s="1"/>
  <c r="D23" i="6" s="1"/>
  <c r="E19" i="6"/>
  <c r="F19" i="6" s="1"/>
  <c r="G19" i="6" s="1"/>
  <c r="H19" i="6"/>
  <c r="F14" i="6"/>
  <c r="E13" i="6"/>
  <c r="E14" i="6" s="1"/>
  <c r="D13" i="6"/>
  <c r="D14" i="6" s="1"/>
  <c r="E12" i="6"/>
  <c r="F12" i="6" s="1"/>
  <c r="D9" i="6"/>
  <c r="H5" i="6"/>
  <c r="G42" i="6"/>
  <c r="H42" i="6" s="1"/>
  <c r="H43" i="6"/>
  <c r="F20" i="6"/>
  <c r="G20" i="6" s="1"/>
  <c r="H20" i="6" s="1"/>
  <c r="H148" i="6"/>
  <c r="H99" i="6"/>
  <c r="F139" i="6"/>
  <c r="G139" i="6" s="1"/>
  <c r="H139" i="6" s="1"/>
  <c r="F104" i="6"/>
  <c r="G140" i="6"/>
  <c r="H140" i="6" s="1"/>
  <c r="G21" i="6"/>
  <c r="H21" i="6" s="1"/>
  <c r="G28" i="6"/>
  <c r="H28" i="6"/>
  <c r="F13" i="6"/>
  <c r="G98" i="6"/>
  <c r="H98" i="6" s="1"/>
  <c r="H29" i="6"/>
  <c r="F174" i="6"/>
  <c r="G174" i="6" s="1"/>
  <c r="H174" i="6" s="1"/>
  <c r="H176" i="6"/>
  <c r="G189" i="6"/>
  <c r="H189" i="6" s="1"/>
  <c r="G198" i="6"/>
  <c r="G182" i="6"/>
  <c r="H182" i="6" s="1"/>
  <c r="G161" i="6"/>
  <c r="H161" i="6" s="1"/>
  <c r="F160" i="6"/>
  <c r="G160" i="6" s="1"/>
  <c r="H160" i="6" s="1"/>
  <c r="H162" i="6"/>
  <c r="F202" i="6"/>
  <c r="G23" i="6"/>
  <c r="H22" i="6"/>
  <c r="F195" i="6"/>
  <c r="G195" i="6" s="1"/>
  <c r="H195" i="6" s="1"/>
  <c r="H63" i="6"/>
  <c r="G64" i="6"/>
  <c r="H64" i="6" s="1"/>
  <c r="G124" i="6"/>
  <c r="H124" i="6" s="1"/>
  <c r="H125" i="6" s="1"/>
  <c r="H126" i="6" s="1"/>
  <c r="E147" i="6"/>
  <c r="E148" i="6" s="1"/>
  <c r="E149" i="6" s="1"/>
  <c r="F146" i="6"/>
  <c r="G146" i="6"/>
  <c r="H146" i="6"/>
  <c r="G168" i="6"/>
  <c r="H168" i="6" s="1"/>
  <c r="E182" i="6"/>
  <c r="E183" i="6" s="1"/>
  <c r="E184" i="6" s="1"/>
  <c r="E168" i="6"/>
  <c r="E169" i="6"/>
  <c r="E170" i="6" s="1"/>
  <c r="F153" i="6"/>
  <c r="G65" i="6"/>
  <c r="H127" i="6"/>
  <c r="H152" i="6"/>
  <c r="H153" i="6" s="1"/>
  <c r="H154" i="6" s="1"/>
  <c r="H155" i="6" s="1"/>
  <c r="G131" i="6"/>
  <c r="H131" i="6" s="1"/>
  <c r="H132" i="6" s="1"/>
  <c r="H133" i="6" s="1"/>
  <c r="H134" i="6" s="1"/>
  <c r="F132" i="6"/>
  <c r="G202" i="6"/>
  <c r="H201" i="6"/>
  <c r="G125" i="6"/>
  <c r="G126" i="6" s="1"/>
  <c r="H141" i="6"/>
  <c r="E42" i="6"/>
  <c r="E43" i="6"/>
  <c r="E44" i="6" s="1"/>
  <c r="F41" i="6"/>
  <c r="G41" i="6"/>
  <c r="H41" i="6"/>
  <c r="H103" i="6"/>
  <c r="H104" i="6" s="1"/>
  <c r="H105" i="6" s="1"/>
  <c r="H106" i="6" s="1"/>
  <c r="F111" i="6"/>
  <c r="G110" i="6"/>
  <c r="G117" i="6"/>
  <c r="F118" i="6"/>
  <c r="H204" i="6"/>
  <c r="G205" i="6"/>
  <c r="E189" i="6"/>
  <c r="E190" i="6"/>
  <c r="E191" i="6" s="1"/>
  <c r="F188" i="6"/>
  <c r="G188" i="6"/>
  <c r="H188" i="6"/>
  <c r="G118" i="6"/>
  <c r="G119" i="6"/>
  <c r="H117" i="6"/>
  <c r="H118" i="6" s="1"/>
  <c r="H119" i="6" s="1"/>
  <c r="H120" i="6" s="1"/>
  <c r="H110" i="6"/>
  <c r="H111" i="6" s="1"/>
  <c r="H112" i="6" s="1"/>
  <c r="H113" i="6" s="1"/>
  <c r="G111" i="6"/>
  <c r="G112" i="6" s="1"/>
  <c r="G203" i="6"/>
  <c r="H203" i="6"/>
  <c r="H202" i="6"/>
  <c r="E28" i="6" l="1"/>
  <c r="E29" i="6" s="1"/>
  <c r="E30" i="6" s="1"/>
  <c r="F27" i="6"/>
  <c r="G27" i="6" s="1"/>
  <c r="H27" i="6" s="1"/>
  <c r="G132" i="6"/>
  <c r="G133" i="6" s="1"/>
  <c r="F97" i="6"/>
  <c r="G97" i="6" s="1"/>
  <c r="H97" i="6" s="1"/>
  <c r="E98" i="6"/>
  <c r="E99" i="6" s="1"/>
  <c r="E100" i="6" s="1"/>
  <c r="G170" i="6"/>
  <c r="H169" i="6"/>
  <c r="G175" i="6"/>
  <c r="H175" i="6" s="1"/>
  <c r="F176" i="6"/>
  <c r="F177" i="6" s="1"/>
  <c r="G191" i="6"/>
  <c r="H190" i="6"/>
  <c r="G196" i="6"/>
  <c r="H196" i="6" s="1"/>
  <c r="F197" i="6"/>
  <c r="F198" i="6" s="1"/>
  <c r="G147" i="6"/>
  <c r="H147" i="6" s="1"/>
  <c r="F148" i="6"/>
  <c r="F149" i="6" s="1"/>
</calcChain>
</file>

<file path=xl/sharedStrings.xml><?xml version="1.0" encoding="utf-8"?>
<sst xmlns="http://schemas.openxmlformats.org/spreadsheetml/2006/main" count="640" uniqueCount="264">
  <si>
    <t>主要項目</t>
  </si>
  <si>
    <t>細項</t>
  </si>
  <si>
    <t>價    格    修    正    率</t>
  </si>
  <si>
    <t>（百  分  比）</t>
  </si>
  <si>
    <t>備          註</t>
  </si>
  <si>
    <t>優</t>
  </si>
  <si>
    <t>稍優</t>
  </si>
  <si>
    <t>普通</t>
  </si>
  <si>
    <t>稍劣</t>
  </si>
  <si>
    <t>劣</t>
  </si>
  <si>
    <t>普通：限制建築高度及面積</t>
  </si>
  <si>
    <t>稍劣：限制整體開發</t>
  </si>
  <si>
    <t>劣：禁止建築</t>
  </si>
  <si>
    <t>寬</t>
    <phoneticPr fontId="5" type="noConversion"/>
  </si>
  <si>
    <t>接</t>
    <phoneticPr fontId="5" type="noConversion"/>
  </si>
  <si>
    <t>近</t>
    <phoneticPr fontId="5" type="noConversion"/>
  </si>
  <si>
    <t>之</t>
    <phoneticPr fontId="5" type="noConversion"/>
  </si>
  <si>
    <t>道</t>
    <phoneticPr fontId="5" type="noConversion"/>
  </si>
  <si>
    <t>市</t>
    <phoneticPr fontId="5" type="noConversion"/>
  </si>
  <si>
    <t>接近</t>
    <phoneticPr fontId="5" type="noConversion"/>
  </si>
  <si>
    <t>使用</t>
    <phoneticPr fontId="5" type="noConversion"/>
  </si>
  <si>
    <t>分區</t>
    <phoneticPr fontId="5" type="noConversion"/>
  </si>
  <si>
    <t>建</t>
    <phoneticPr fontId="5" type="noConversion"/>
  </si>
  <si>
    <t>蔽</t>
    <phoneticPr fontId="5" type="noConversion"/>
  </si>
  <si>
    <t>率</t>
    <phoneticPr fontId="5" type="noConversion"/>
  </si>
  <si>
    <t>容</t>
    <phoneticPr fontId="5" type="noConversion"/>
  </si>
  <si>
    <t>積</t>
    <phoneticPr fontId="5" type="noConversion"/>
  </si>
  <si>
    <t>有</t>
    <phoneticPr fontId="5" type="noConversion"/>
  </si>
  <si>
    <t>無</t>
    <phoneticPr fontId="5" type="noConversion"/>
  </si>
  <si>
    <t>禁</t>
    <phoneticPr fontId="5" type="noConversion"/>
  </si>
  <si>
    <t>優</t>
    <phoneticPr fontId="5" type="noConversion"/>
  </si>
  <si>
    <t>劣</t>
    <phoneticPr fontId="5" type="noConversion"/>
  </si>
  <si>
    <t>普通</t>
    <phoneticPr fontId="5" type="noConversion"/>
  </si>
  <si>
    <t>稍優：限制建築高度或面積</t>
    <phoneticPr fontId="5" type="noConversion"/>
  </si>
  <si>
    <t>優：都市計畫商業區</t>
    <phoneticPr fontId="5" type="noConversion"/>
  </si>
  <si>
    <t>普通：都市計畫住宅區、非都市土地甲、乙種建築用地</t>
    <phoneticPr fontId="5" type="noConversion"/>
  </si>
  <si>
    <t>劣：農業區建地目、使用編定為丙種建築用地或受開發限制之住宅用地等</t>
    <phoneticPr fontId="5" type="noConversion"/>
  </si>
  <si>
    <t>都</t>
    <phoneticPr fontId="5" type="noConversion"/>
  </si>
  <si>
    <t>以該區域是否為都市計畫內外區分</t>
    <phoneticPr fontId="5" type="noConversion"/>
  </si>
  <si>
    <t>都市計畫區內：優</t>
    <phoneticPr fontId="5" type="noConversion"/>
  </si>
  <si>
    <t>計</t>
    <phoneticPr fontId="5" type="noConversion"/>
  </si>
  <si>
    <t>都市計畫區外：劣</t>
    <phoneticPr fontId="5" type="noConversion"/>
  </si>
  <si>
    <t>畫</t>
    <phoneticPr fontId="5" type="noConversion"/>
  </si>
  <si>
    <t>土地使用管制</t>
    <phoneticPr fontId="5" type="noConversion"/>
  </si>
  <si>
    <t>止</t>
    <phoneticPr fontId="5" type="noConversion"/>
  </si>
  <si>
    <t>築</t>
    <phoneticPr fontId="5" type="noConversion"/>
  </si>
  <si>
    <t>優：無禁止建築</t>
    <phoneticPr fontId="5" type="noConversion"/>
  </si>
  <si>
    <t>劣：禁止建築</t>
    <phoneticPr fontId="5" type="noConversion"/>
  </si>
  <si>
    <t>交通運輸</t>
    <phoneticPr fontId="5" type="noConversion"/>
  </si>
  <si>
    <t>程度</t>
    <phoneticPr fontId="5" type="noConversion"/>
  </si>
  <si>
    <t>區段內</t>
    <phoneticPr fontId="5" type="noConversion"/>
  </si>
  <si>
    <t>以該區域內道路規劃及興闢程度衡量。</t>
    <phoneticPr fontId="5" type="noConversion"/>
  </si>
  <si>
    <t>道路</t>
    <phoneticPr fontId="5" type="noConversion"/>
  </si>
  <si>
    <t>規劃</t>
    <phoneticPr fontId="5" type="noConversion"/>
  </si>
  <si>
    <t>及</t>
    <phoneticPr fontId="5" type="noConversion"/>
  </si>
  <si>
    <t>闢建</t>
    <phoneticPr fontId="5" type="noConversion"/>
  </si>
  <si>
    <t>主</t>
    <phoneticPr fontId="5" type="noConversion"/>
  </si>
  <si>
    <t>要</t>
    <phoneticPr fontId="5" type="noConversion"/>
  </si>
  <si>
    <t>路</t>
    <phoneticPr fontId="5" type="noConversion"/>
  </si>
  <si>
    <t>度</t>
    <phoneticPr fontId="5" type="noConversion"/>
  </si>
  <si>
    <t>交流道</t>
    <phoneticPr fontId="5" type="noConversion"/>
  </si>
  <si>
    <t>之有無</t>
    <phoneticPr fontId="5" type="noConversion"/>
  </si>
  <si>
    <t>大型</t>
    <phoneticPr fontId="5" type="noConversion"/>
  </si>
  <si>
    <t>車站</t>
    <phoneticPr fontId="5" type="noConversion"/>
  </si>
  <si>
    <t>之程度</t>
    <phoneticPr fontId="5" type="noConversion"/>
  </si>
  <si>
    <t>平均</t>
    <phoneticPr fontId="5" type="noConversion"/>
  </si>
  <si>
    <t>寬度</t>
    <phoneticPr fontId="5" type="noConversion"/>
  </si>
  <si>
    <t>優：30m≦W</t>
    <phoneticPr fontId="5" type="noConversion"/>
  </si>
  <si>
    <t>稍優：20m≦W＜30m</t>
    <phoneticPr fontId="5" type="noConversion"/>
  </si>
  <si>
    <t>普通：8m≦W＜20m</t>
    <phoneticPr fontId="5" type="noConversion"/>
  </si>
  <si>
    <t>稍劣：4m≦W＜8m</t>
    <phoneticPr fontId="5" type="noConversion"/>
  </si>
  <si>
    <t>劣：W＜4m</t>
    <phoneticPr fontId="5" type="noConversion"/>
  </si>
  <si>
    <t>以該區域內平均道路寬度(W)衡量。</t>
    <phoneticPr fontId="5" type="noConversion"/>
  </si>
  <si>
    <t>優：40m≦W</t>
    <phoneticPr fontId="5" type="noConversion"/>
  </si>
  <si>
    <t>以該區域最接近主要道路之寬度(W)衡量。</t>
    <phoneticPr fontId="5" type="noConversion"/>
  </si>
  <si>
    <t>以該區域中心點最接近車站（高鐵站、火車站及客運站)之距離(D)衡量。</t>
    <phoneticPr fontId="5" type="noConversion"/>
  </si>
  <si>
    <t>以該區域中心點最接近站牌（含火車、高鐵、捷運及公車站牌等）之距離（D）衡量。</t>
    <phoneticPr fontId="5" type="noConversion"/>
  </si>
  <si>
    <t>以該區域中心點最接近交流道之距離(D)衡量。</t>
    <phoneticPr fontId="5" type="noConversion"/>
  </si>
  <si>
    <t>優：鋪設紅磚道與行人徒步區</t>
    <phoneticPr fontId="5" type="noConversion"/>
  </si>
  <si>
    <t>普通：鋪設柏油路面及人行道</t>
    <phoneticPr fontId="5" type="noConversion"/>
  </si>
  <si>
    <t>劣：無鋪設道路</t>
    <phoneticPr fontId="5" type="noConversion"/>
  </si>
  <si>
    <t>自然條件</t>
    <phoneticPr fontId="5" type="noConversion"/>
  </si>
  <si>
    <t>勢</t>
    <phoneticPr fontId="5" type="noConversion"/>
  </si>
  <si>
    <t>地</t>
    <phoneticPr fontId="5" type="noConversion"/>
  </si>
  <si>
    <t>水</t>
    <phoneticPr fontId="5" type="noConversion"/>
  </si>
  <si>
    <t>良</t>
    <phoneticPr fontId="5" type="noConversion"/>
  </si>
  <si>
    <t>否</t>
    <phoneticPr fontId="5" type="noConversion"/>
  </si>
  <si>
    <t>排</t>
    <phoneticPr fontId="5" type="noConversion"/>
  </si>
  <si>
    <t>劣：一般雨勢下無法排水</t>
    <phoneticPr fontId="5" type="noConversion"/>
  </si>
  <si>
    <t>以該區域內平均地勢高亢或地窪來衡量。</t>
    <phoneticPr fontId="5" type="noConversion"/>
  </si>
  <si>
    <t>優：該區地勢平坦</t>
    <phoneticPr fontId="5" type="noConversion"/>
  </si>
  <si>
    <t>稍優：該區大部分地勢平坦</t>
    <phoneticPr fontId="5" type="noConversion"/>
  </si>
  <si>
    <t>普通：該區一半地勢平坦</t>
    <phoneticPr fontId="5" type="noConversion"/>
  </si>
  <si>
    <t>稍劣：該區大部分地勢高亢或低窪</t>
    <phoneticPr fontId="5" type="noConversion"/>
  </si>
  <si>
    <t>劣：該區全部地勢高亢或低窪</t>
    <phoneticPr fontId="5" type="noConversion"/>
  </si>
  <si>
    <t>觀光</t>
    <phoneticPr fontId="5" type="noConversion"/>
  </si>
  <si>
    <t>遊憩</t>
    <phoneticPr fontId="5" type="noConversion"/>
  </si>
  <si>
    <t>設施</t>
    <phoneticPr fontId="5" type="noConversion"/>
  </si>
  <si>
    <t>停車</t>
    <phoneticPr fontId="5" type="noConversion"/>
  </si>
  <si>
    <t>場地</t>
    <phoneticPr fontId="5" type="noConversion"/>
  </si>
  <si>
    <t>便利</t>
    <phoneticPr fontId="5" type="noConversion"/>
  </si>
  <si>
    <t>特殊設施</t>
    <phoneticPr fontId="5" type="noConversion"/>
  </si>
  <si>
    <t>以該區域中心點最接近公園、廣場、徒步區之距離（D）衡量。</t>
    <phoneticPr fontId="5" type="noConversion"/>
  </si>
  <si>
    <t>以該區域中心點最接近觀光遊憩設施(如商圈、夜市、古蹟、風景區等)程度之距離（D）衡量。</t>
    <phoneticPr fontId="5" type="noConversion"/>
  </si>
  <si>
    <t>以該區域中心點最接近市場(傳統市場、超級市場、量販店、購物中心)之距離（D）衡量。</t>
    <phoneticPr fontId="5" type="noConversion"/>
  </si>
  <si>
    <t>稍優：該區域內設有一般停車場</t>
    <phoneticPr fontId="5" type="noConversion"/>
  </si>
  <si>
    <t>普通：該區域內設有路邊停車格</t>
    <phoneticPr fontId="5" type="noConversion"/>
  </si>
  <si>
    <t>優：該區域內設有立體停車場</t>
    <phoneticPr fontId="5" type="noConversion"/>
  </si>
  <si>
    <t>稍劣：該區域內設有黃、白線等可臨時停車</t>
    <phoneticPr fontId="5" type="noConversion"/>
  </si>
  <si>
    <t>依接近該區域內時停車設置之便利情形衡量</t>
    <phoneticPr fontId="5" type="noConversion"/>
  </si>
  <si>
    <t>其他影響因素</t>
    <phoneticPr fontId="5" type="noConversion"/>
  </si>
  <si>
    <t>依該區域之其他影響地價因素差異程度來衡量</t>
    <phoneticPr fontId="5" type="noConversion"/>
  </si>
  <si>
    <t>請自行定義</t>
    <phoneticPr fontId="5" type="noConversion"/>
  </si>
  <si>
    <t>優：3000m＜D</t>
    <phoneticPr fontId="5" type="noConversion"/>
  </si>
  <si>
    <t xml:space="preserve">稍優：1800m＜D≦3000m </t>
    <phoneticPr fontId="5" type="noConversion"/>
  </si>
  <si>
    <t xml:space="preserve">普通：900m＜D≦1800m </t>
    <phoneticPr fontId="5" type="noConversion"/>
  </si>
  <si>
    <t>稍劣：300m＜D≦900m</t>
    <phoneticPr fontId="5" type="noConversion"/>
  </si>
  <si>
    <t>劣：D≦300m</t>
    <phoneticPr fontId="5" type="noConversion"/>
  </si>
  <si>
    <t>以該區域內排水程度來衡量。</t>
    <phoneticPr fontId="5" type="noConversion"/>
  </si>
  <si>
    <t>工商活動</t>
    <phoneticPr fontId="5" type="noConversion"/>
  </si>
  <si>
    <t>優：70％＜建蔽率。</t>
    <phoneticPr fontId="5" type="noConversion"/>
  </si>
  <si>
    <t>稍優：60％＜建蔽率≦70％。</t>
    <phoneticPr fontId="5" type="noConversion"/>
  </si>
  <si>
    <t>普通：50％＜建蔽率≦60％。</t>
    <phoneticPr fontId="5" type="noConversion"/>
  </si>
  <si>
    <t>稍劣：40％＜建蔽率≦50％。</t>
    <phoneticPr fontId="5" type="noConversion"/>
  </si>
  <si>
    <t>劣：建蔽率≦40％。</t>
    <phoneticPr fontId="5" type="noConversion"/>
  </si>
  <si>
    <t>優：500％≦容積率。</t>
    <phoneticPr fontId="5" type="noConversion"/>
  </si>
  <si>
    <t>稍優：400％≦容積率＜500％。</t>
    <phoneticPr fontId="5" type="noConversion"/>
  </si>
  <si>
    <t>普通：300％≦容積率＜400％。</t>
    <phoneticPr fontId="5" type="noConversion"/>
  </si>
  <si>
    <t>稍劣：200％≦容積率＜300％。</t>
    <phoneticPr fontId="5" type="noConversion"/>
  </si>
  <si>
    <t>劣：容積率＜200％。</t>
    <phoneticPr fontId="5" type="noConversion"/>
  </si>
  <si>
    <t>優：D≦100m</t>
    <phoneticPr fontId="5" type="noConversion"/>
  </si>
  <si>
    <t>優：D≦100m</t>
    <phoneticPr fontId="5" type="noConversion"/>
  </si>
  <si>
    <t>稍優：100m＜D≦500m</t>
    <phoneticPr fontId="5" type="noConversion"/>
  </si>
  <si>
    <t>普通：500m＜D≦1000m</t>
    <phoneticPr fontId="5" type="noConversion"/>
  </si>
  <si>
    <t>稍劣：1000m＜D≦1500m</t>
    <phoneticPr fontId="5" type="noConversion"/>
  </si>
  <si>
    <t>劣：1500m＜D</t>
    <phoneticPr fontId="5" type="noConversion"/>
  </si>
  <si>
    <t>百貨</t>
    <phoneticPr fontId="5" type="noConversion"/>
  </si>
  <si>
    <t>公司</t>
    <phoneticPr fontId="5" type="noConversion"/>
  </si>
  <si>
    <t>程度</t>
    <phoneticPr fontId="5" type="noConversion"/>
  </si>
  <si>
    <t>金融</t>
    <phoneticPr fontId="5" type="noConversion"/>
  </si>
  <si>
    <t>機構</t>
    <phoneticPr fontId="5" type="noConversion"/>
  </si>
  <si>
    <t>娛樂</t>
    <phoneticPr fontId="5" type="noConversion"/>
  </si>
  <si>
    <t>觀光飯店</t>
    <phoneticPr fontId="5" type="noConversion"/>
  </si>
  <si>
    <t>顧客</t>
    <phoneticPr fontId="5" type="noConversion"/>
  </si>
  <si>
    <t>通行量</t>
    <phoneticPr fontId="5" type="noConversion"/>
  </si>
  <si>
    <t>多寡</t>
    <phoneticPr fontId="5" type="noConversion"/>
  </si>
  <si>
    <t>店鋪</t>
    <phoneticPr fontId="5" type="noConversion"/>
  </si>
  <si>
    <t>狀態</t>
    <phoneticPr fontId="5" type="noConversion"/>
  </si>
  <si>
    <t>毗連</t>
    <phoneticPr fontId="5" type="noConversion"/>
  </si>
  <si>
    <t>以該區域店鋪毗連狀態來衡量。</t>
    <phoneticPr fontId="5" type="noConversion"/>
  </si>
  <si>
    <t>劣：該區域內無法停車</t>
    <phoneticPr fontId="5" type="noConversion"/>
  </si>
  <si>
    <t>工商活動</t>
    <phoneticPr fontId="5" type="noConversion"/>
  </si>
  <si>
    <t>優：區域內店鋪相連，且商業行為較高，如金融業、百貨業、珠寶銀樓、知名品牌店進駐較多。</t>
    <phoneticPr fontId="5" type="noConversion"/>
  </si>
  <si>
    <t>稍優：區域內店鋪相連，且商業行為一般，如一般服務業、知名餐飲業進駐較多。</t>
    <phoneticPr fontId="5" type="noConversion"/>
  </si>
  <si>
    <t>劣：區域內店鋪不相連，且混雜一般住家，商業行為薄弱。</t>
    <phoneticPr fontId="5" type="noConversion"/>
  </si>
  <si>
    <t>稍劣：區域內店鋪不相連，且混雜一般住家，商業行為以服務業、餐飲業較多。</t>
    <phoneticPr fontId="5" type="noConversion"/>
  </si>
  <si>
    <t>普通：區域內店鋪相連，但部分混雜一般住家，商業行為以服務業、餐飲業較多。</t>
    <phoneticPr fontId="5" type="noConversion"/>
  </si>
  <si>
    <r>
      <t>普通：該區域位於</t>
    </r>
    <r>
      <rPr>
        <b/>
        <sz val="12"/>
        <rFont val="標楷體"/>
        <family val="4"/>
        <charset val="136"/>
      </rPr>
      <t>地區</t>
    </r>
    <r>
      <rPr>
        <sz val="12"/>
        <rFont val="標楷體"/>
        <family val="4"/>
        <charset val="136"/>
      </rPr>
      <t>商業中心，顧客通行最大之區域。</t>
    </r>
    <phoneticPr fontId="5" type="noConversion"/>
  </si>
  <si>
    <r>
      <t>稍劣：該區域位於</t>
    </r>
    <r>
      <rPr>
        <b/>
        <sz val="12"/>
        <rFont val="標楷體"/>
        <family val="4"/>
        <charset val="136"/>
      </rPr>
      <t>地區</t>
    </r>
    <r>
      <rPr>
        <sz val="12"/>
        <rFont val="標楷體"/>
        <family val="4"/>
        <charset val="136"/>
      </rPr>
      <t>商業中心，顧客通行量次大之區域。</t>
    </r>
    <phoneticPr fontId="5" type="noConversion"/>
  </si>
  <si>
    <r>
      <t>稍優：該區域位於</t>
    </r>
    <r>
      <rPr>
        <b/>
        <sz val="12"/>
        <rFont val="標楷體"/>
        <family val="4"/>
        <charset val="136"/>
      </rPr>
      <t>全市</t>
    </r>
    <r>
      <rPr>
        <sz val="12"/>
        <rFont val="標楷體"/>
        <family val="4"/>
        <charset val="136"/>
      </rPr>
      <t>商業中心，為顧客通行之次要區域。</t>
    </r>
    <phoneticPr fontId="5" type="noConversion"/>
  </si>
  <si>
    <r>
      <t>優：該區域位於</t>
    </r>
    <r>
      <rPr>
        <b/>
        <sz val="12"/>
        <rFont val="標楷體"/>
        <family val="4"/>
        <charset val="136"/>
      </rPr>
      <t>全市</t>
    </r>
    <r>
      <rPr>
        <sz val="12"/>
        <rFont val="標楷體"/>
        <family val="4"/>
        <charset val="136"/>
      </rPr>
      <t>商業中心，為顧客通行之主要區域。</t>
    </r>
    <phoneticPr fontId="5" type="noConversion"/>
  </si>
  <si>
    <r>
      <t>劣：該區域位於</t>
    </r>
    <r>
      <rPr>
        <b/>
        <sz val="12"/>
        <rFont val="標楷體"/>
        <family val="4"/>
        <charset val="136"/>
      </rPr>
      <t>非屬</t>
    </r>
    <r>
      <rPr>
        <sz val="12"/>
        <rFont val="標楷體"/>
        <family val="4"/>
        <charset val="136"/>
      </rPr>
      <t>地區商業中心，顧客通行量稀少</t>
    </r>
    <phoneticPr fontId="5" type="noConversion"/>
  </si>
  <si>
    <t>以該區域商業中心的種類以及顧客通行量之狀態來衡量。</t>
    <phoneticPr fontId="5" type="noConversion"/>
  </si>
  <si>
    <t>稍優：20m≦W＜40m</t>
    <phoneticPr fontId="5" type="noConversion"/>
  </si>
  <si>
    <t>普通：8m≦W＜20m</t>
    <phoneticPr fontId="5" type="noConversion"/>
  </si>
  <si>
    <t>稍劣：4m≦W＜8m</t>
    <phoneticPr fontId="5" type="noConversion"/>
  </si>
  <si>
    <t>劣：W＜4m</t>
    <phoneticPr fontId="5" type="noConversion"/>
  </si>
  <si>
    <t>優：D≦100m</t>
    <phoneticPr fontId="5" type="noConversion"/>
  </si>
  <si>
    <t>稍優：100m＜D≦500m</t>
    <phoneticPr fontId="5" type="noConversion"/>
  </si>
  <si>
    <t>普通：500m＜D≦1000m</t>
    <phoneticPr fontId="5" type="noConversion"/>
  </si>
  <si>
    <t>稍劣：1000m＜D≦1500m</t>
    <phoneticPr fontId="5" type="noConversion"/>
  </si>
  <si>
    <t>劣：1500m＜D</t>
    <phoneticPr fontId="5" type="noConversion"/>
  </si>
  <si>
    <t>優：D≦1000m</t>
    <phoneticPr fontId="5" type="noConversion"/>
  </si>
  <si>
    <t>稍優：1000m＜D≦2000m</t>
    <phoneticPr fontId="5" type="noConversion"/>
  </si>
  <si>
    <t>普通：2000m＜D≦3000m</t>
    <phoneticPr fontId="5" type="noConversion"/>
  </si>
  <si>
    <t>稍劣：3000m＜D≦4000m</t>
    <phoneticPr fontId="5" type="noConversion"/>
  </si>
  <si>
    <t>劣：4000m＜D</t>
    <phoneticPr fontId="5" type="noConversion"/>
  </si>
  <si>
    <t>普通</t>
    <phoneticPr fontId="5" type="noConversion"/>
  </si>
  <si>
    <t>劣</t>
    <phoneticPr fontId="5" type="noConversion"/>
  </si>
  <si>
    <t>普通：一般雨勢下仍可有效排水</t>
    <phoneticPr fontId="5" type="noConversion"/>
  </si>
  <si>
    <t>優：豪雨下仍可有效排水</t>
    <phoneticPr fontId="5" type="noConversion"/>
  </si>
  <si>
    <t>優：3000m＜D</t>
    <phoneticPr fontId="5" type="noConversion"/>
  </si>
  <si>
    <t xml:space="preserve">稍優：1800m＜D≦3000m </t>
    <phoneticPr fontId="5" type="noConversion"/>
  </si>
  <si>
    <t xml:space="preserve">普通：900m＜D≦1800m </t>
    <phoneticPr fontId="5" type="noConversion"/>
  </si>
  <si>
    <t>稍劣：300m＜D≦900m</t>
    <phoneticPr fontId="5" type="noConversion"/>
  </si>
  <si>
    <t>基準區段</t>
  </si>
  <si>
    <t>基準區段</t>
    <phoneticPr fontId="5" type="noConversion"/>
  </si>
  <si>
    <t>目標區段</t>
  </si>
  <si>
    <t>目標區段</t>
    <phoneticPr fontId="5" type="noConversion"/>
  </si>
  <si>
    <t>之程度</t>
    <phoneticPr fontId="5" type="noConversion"/>
  </si>
  <si>
    <t>之程度</t>
    <phoneticPr fontId="5" type="noConversion"/>
  </si>
  <si>
    <t>、數量</t>
    <phoneticPr fontId="5" type="noConversion"/>
  </si>
  <si>
    <t>、接近</t>
    <phoneticPr fontId="5" type="noConversion"/>
  </si>
  <si>
    <t>大型展示</t>
    <phoneticPr fontId="5" type="noConversion"/>
  </si>
  <si>
    <t>中心或</t>
    <phoneticPr fontId="5" type="noConversion"/>
  </si>
  <si>
    <t>之有無、</t>
    <phoneticPr fontId="5" type="noConversion"/>
  </si>
  <si>
    <t>數量、</t>
    <phoneticPr fontId="5" type="noConversion"/>
  </si>
  <si>
    <t>接近程度</t>
    <phoneticPr fontId="5" type="noConversion"/>
  </si>
  <si>
    <t xml:space="preserve"> </t>
    <phoneticPr fontId="5" type="noConversion"/>
  </si>
  <si>
    <t>公共建設</t>
    <phoneticPr fontId="5" type="noConversion"/>
  </si>
  <si>
    <t>站牌之</t>
    <phoneticPr fontId="5" type="noConversion"/>
  </si>
  <si>
    <t>或密集</t>
    <phoneticPr fontId="5" type="noConversion"/>
  </si>
  <si>
    <t>接近市場</t>
    <phoneticPr fontId="5" type="noConversion"/>
  </si>
  <si>
    <t>（傳統市場</t>
    <phoneticPr fontId="5" type="noConversion"/>
  </si>
  <si>
    <t>超大型購物</t>
    <phoneticPr fontId="5" type="noConversion"/>
  </si>
  <si>
    <r>
      <t>超級市場</t>
    </r>
    <r>
      <rPr>
        <sz val="9"/>
        <rFont val="新細明體"/>
        <family val="1"/>
        <charset val="136"/>
      </rPr>
      <t>、</t>
    </r>
    <phoneticPr fontId="5" type="noConversion"/>
  </si>
  <si>
    <r>
      <t>中心</t>
    </r>
    <r>
      <rPr>
        <sz val="9"/>
        <rFont val="新細明體"/>
        <family val="1"/>
        <charset val="136"/>
      </rPr>
      <t>）</t>
    </r>
    <phoneticPr fontId="5" type="noConversion"/>
  </si>
  <si>
    <t>程度</t>
    <phoneticPr fontId="5" type="noConversion"/>
  </si>
  <si>
    <t>接近公園</t>
    <phoneticPr fontId="5" type="noConversion"/>
  </si>
  <si>
    <t>、徒步區</t>
    <phoneticPr fontId="5" type="noConversion"/>
  </si>
  <si>
    <r>
      <rPr>
        <sz val="9"/>
        <rFont val="新細明體"/>
        <family val="1"/>
        <charset val="136"/>
      </rPr>
      <t>）、</t>
    </r>
    <r>
      <rPr>
        <sz val="9"/>
        <rFont val="標楷體"/>
        <family val="4"/>
        <charset val="136"/>
      </rPr>
      <t>廣場</t>
    </r>
    <phoneticPr fontId="5" type="noConversion"/>
  </si>
  <si>
    <r>
      <rPr>
        <sz val="9"/>
        <rFont val="新細明體"/>
        <family val="1"/>
        <charset val="136"/>
      </rPr>
      <t>（</t>
    </r>
    <r>
      <rPr>
        <sz val="9"/>
        <rFont val="標楷體"/>
        <family val="4"/>
        <charset val="136"/>
      </rPr>
      <t>里鄰公園</t>
    </r>
    <phoneticPr fontId="5" type="noConversion"/>
  </si>
  <si>
    <t>電業設施</t>
    <phoneticPr fontId="5" type="noConversion"/>
  </si>
  <si>
    <t>及公用氣體</t>
    <phoneticPr fontId="5" type="noConversion"/>
  </si>
  <si>
    <t>燃料設施</t>
    <phoneticPr fontId="5" type="noConversion"/>
  </si>
  <si>
    <t>之有無</t>
    <phoneticPr fontId="5" type="noConversion"/>
  </si>
  <si>
    <t>及接近</t>
    <phoneticPr fontId="5" type="noConversion"/>
  </si>
  <si>
    <t>程度</t>
    <phoneticPr fontId="5" type="noConversion"/>
  </si>
  <si>
    <t>目標區段</t>
    <phoneticPr fontId="5" type="noConversion"/>
  </si>
  <si>
    <t>優：3000m＜D或無</t>
    <phoneticPr fontId="5" type="noConversion"/>
  </si>
  <si>
    <t xml:space="preserve">稍優：1800m＜D≦3000m </t>
    <phoneticPr fontId="5" type="noConversion"/>
  </si>
  <si>
    <t>等之有無</t>
    <phoneticPr fontId="5" type="noConversion"/>
  </si>
  <si>
    <t xml:space="preserve">普通：900m＜D≦1800m </t>
    <phoneticPr fontId="5" type="noConversion"/>
  </si>
  <si>
    <t>及接近程度</t>
    <phoneticPr fontId="5" type="noConversion"/>
  </si>
  <si>
    <t>稍劣：300m＜D≦900m</t>
    <phoneticPr fontId="5" type="noConversion"/>
  </si>
  <si>
    <t>劣：D≦300m</t>
    <phoneticPr fontId="5" type="noConversion"/>
  </si>
  <si>
    <t>及接近</t>
    <phoneticPr fontId="5" type="noConversion"/>
  </si>
  <si>
    <t>殯葬</t>
    <phoneticPr fontId="5" type="noConversion"/>
  </si>
  <si>
    <t>程度</t>
    <phoneticPr fontId="5" type="noConversion"/>
  </si>
  <si>
    <t>廢棄物</t>
    <phoneticPr fontId="5" type="noConversion"/>
  </si>
  <si>
    <t>處理</t>
    <phoneticPr fontId="5" type="noConversion"/>
  </si>
  <si>
    <t>設施之</t>
    <phoneticPr fontId="5" type="noConversion"/>
  </si>
  <si>
    <t>有無及</t>
    <phoneticPr fontId="5" type="noConversion"/>
  </si>
  <si>
    <t>優：無限制建築</t>
    <phoneticPr fontId="5" type="noConversion"/>
  </si>
  <si>
    <t>以該區域中心點最接近該設施之距離（D）衡量。</t>
    <phoneticPr fontId="5" type="noConversion"/>
  </si>
  <si>
    <t>以該區域中心點最接近百貨公司之距離（D）衡量。</t>
    <phoneticPr fontId="5" type="noConversion"/>
  </si>
  <si>
    <t>以該區域中心點最接近金融機構之距離（D）衡量。</t>
    <phoneticPr fontId="5" type="noConversion"/>
  </si>
  <si>
    <t>以該區域中心點最接近娛樂設施之距離（D）衡量。</t>
    <phoneticPr fontId="5" type="noConversion"/>
  </si>
  <si>
    <t>以該區域中心點最接近大型展示中心或觀光飯店之距離（D）衡量。</t>
    <phoneticPr fontId="5" type="noConversion"/>
  </si>
  <si>
    <t>稍優：100m＜D≦200m</t>
    <phoneticPr fontId="5" type="noConversion"/>
  </si>
  <si>
    <t>普通：200m＜D≦600m</t>
    <phoneticPr fontId="5" type="noConversion"/>
  </si>
  <si>
    <t>稍劣：600m＜D≦1200m</t>
    <phoneticPr fontId="5" type="noConversion"/>
  </si>
  <si>
    <t>劣：1200m＜D</t>
    <phoneticPr fontId="5" type="noConversion"/>
  </si>
  <si>
    <t>外)</t>
  </si>
  <si>
    <r>
      <t>(內</t>
    </r>
    <r>
      <rPr>
        <sz val="12"/>
        <rFont val="新細明體"/>
        <family val="1"/>
        <charset val="136"/>
      </rPr>
      <t>、</t>
    </r>
    <phoneticPr fontId="5" type="noConversion"/>
  </si>
  <si>
    <r>
      <rPr>
        <sz val="12"/>
        <rFont val="新細明體"/>
        <family val="1"/>
        <charset val="136"/>
      </rPr>
      <t>（</t>
    </r>
    <r>
      <rPr>
        <sz val="12"/>
        <rFont val="標楷體"/>
        <family val="4"/>
        <charset val="136"/>
      </rPr>
      <t>使用地</t>
    </r>
    <phoneticPr fontId="5" type="noConversion"/>
  </si>
  <si>
    <t>類別）</t>
    <phoneticPr fontId="5" type="noConversion"/>
  </si>
  <si>
    <t>有無限制</t>
    <phoneticPr fontId="5" type="noConversion"/>
  </si>
  <si>
    <t>建築（</t>
    <phoneticPr fontId="5" type="noConversion"/>
  </si>
  <si>
    <r>
      <t>面積限制</t>
    </r>
    <r>
      <rPr>
        <sz val="9"/>
        <rFont val="新細明體"/>
        <family val="1"/>
        <charset val="136"/>
      </rPr>
      <t>、</t>
    </r>
    <phoneticPr fontId="5" type="noConversion"/>
  </si>
  <si>
    <r>
      <t>整體開發</t>
    </r>
    <r>
      <rPr>
        <sz val="9"/>
        <rFont val="新細明體"/>
        <family val="1"/>
        <charset val="136"/>
      </rPr>
      <t>、</t>
    </r>
    <phoneticPr fontId="5" type="noConversion"/>
  </si>
  <si>
    <r>
      <t>高度限制</t>
    </r>
    <r>
      <rPr>
        <sz val="9"/>
        <rFont val="新細明體"/>
        <family val="1"/>
        <charset val="136"/>
      </rPr>
      <t>、</t>
    </r>
    <phoneticPr fontId="5" type="noConversion"/>
  </si>
  <si>
    <t>……等）</t>
    <phoneticPr fontId="5" type="noConversion"/>
  </si>
  <si>
    <r>
      <t>ㄧ般公園</t>
    </r>
    <r>
      <rPr>
        <sz val="9"/>
        <rFont val="新細明體"/>
        <family val="1"/>
        <charset val="136"/>
      </rPr>
      <t>、</t>
    </r>
    <phoneticPr fontId="5" type="noConversion"/>
  </si>
  <si>
    <t>說明：</t>
  </si>
  <si>
    <t>一、如特殊狀況之個案，得敘明理由以不大於本基準明細表價格修正率進行調整或免予考慮部分細項。</t>
    <phoneticPr fontId="5" type="noConversion"/>
  </si>
  <si>
    <t>二、如有無法歸屬表列項目之特殊情形需調整者，得於「其他」項下適度調整。</t>
    <phoneticPr fontId="5" type="noConversion"/>
  </si>
  <si>
    <t>屋</t>
    <phoneticPr fontId="5" type="noConversion"/>
  </si>
  <si>
    <t>以該區域中心點最接近水污染、噪音污染、廢氣污染、廢棄物污染之距離（D）衡量。</t>
    <phoneticPr fontId="5" type="noConversion"/>
  </si>
  <si>
    <t>環境污染</t>
    <phoneticPr fontId="5" type="noConversion"/>
  </si>
  <si>
    <t>水污染、</t>
    <phoneticPr fontId="5" type="noConversion"/>
  </si>
  <si>
    <t>噪音污染、</t>
    <phoneticPr fontId="5" type="noConversion"/>
  </si>
  <si>
    <t>廢氣污染、</t>
    <phoneticPr fontId="5" type="noConversion"/>
  </si>
  <si>
    <t>廢棄物污染</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</si>
</sst>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5">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標楷體"/>
      <family val="4"/>
      <charset val="136"/>
    </font>
    <font>
      <sz val="9"/>
      <name val="新細明體"/>
      <family val="1"/>
      <charset val="136"/>
    </font>
    <font>
      <b/>
      <sz val="12"/>
      <name val="標楷體"/>
      <family val="4"/>
      <charset val="136"/>
    </font>
    <font>
      <b/>
      <sz val="12"/>
      <name val="新細明體"/>
      <family val="1"/>
      <charset val="136"/>
    </font>
    <font>
      <sz val="12"/>
      <name val="新細明體"/>
      <family val="1"/>
      <charset val="136"/>
    </font>
    <font>
      <sz val="12"/>
      <name val="Courier"/>
      <family val="3"/>
    </font>
    <font>
      <sz val="12"/>
      <color indexed="10"/>
      <name val="標楷體"/>
      <family val="4"/>
      <charset val="136"/>
    </font>
    <font>
      <sz val="11"/>
      <name val="標楷體"/>
      <family val="4"/>
      <charset val="136"/>
    </font>
    <font>
      <b/>
      <sz val="8"/>
      <name val="標楷體"/>
      <family val="4"/>
      <charset val="136"/>
    </font>
    <font>
      <sz val="11"/>
      <name val="新細明體"/>
      <family val="1"/>
      <charset val="136"/>
    </font>
    <font>
      <sz val="12"/>
      <color rgb="FFFF0000"/>
      <name val="標楷體"/>
      <family val="4"/>
      <charset val="136"/>
    </font>
  </fonts>
  <fills count="3">
    <fill>
      <patternFill patternType="none"/>
    </fill>
    <fill>
      <patternFill patternType="gray125"/>
    </fill>
    <fill>
      <patternFill patternType="solid">
        <fgColor indexed="13"/>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ck">
        <color indexed="64"/>
      </left>
      <right style="medium">
        <color indexed="64"/>
      </right>
      <top style="thick">
        <color indexed="64"/>
      </top>
      <bottom/>
      <diagonal/>
    </border>
    <border>
      <left style="thick">
        <color indexed="64"/>
      </left>
      <right style="medium">
        <color indexed="64"/>
      </right>
      <top/>
      <bottom style="medium">
        <color indexed="64"/>
      </bottom>
      <diagonal/>
    </border>
    <border>
      <left style="medium">
        <color indexed="64"/>
      </left>
      <right/>
      <top style="thick">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medium">
        <color indexed="64"/>
      </top>
      <bottom/>
      <diagonal/>
    </border>
    <border>
      <left style="thick">
        <color indexed="64"/>
      </left>
      <right style="medium">
        <color indexed="64"/>
      </right>
      <top/>
      <bottom/>
      <diagonal/>
    </border>
    <border>
      <left style="thick">
        <color indexed="64"/>
      </left>
      <right style="medium">
        <color indexed="64"/>
      </right>
      <top/>
      <bottom style="thick">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s>
  <cellStyleXfs count="2">
    <xf numFmtId="0" fontId="0" fillId="0" borderId="0">
      <alignment vertical="center"/>
    </xf>
    <xf numFmtId="0" fontId="9" fillId="0" borderId="0"/>
  </cellStyleXfs>
  <cellXfs count="123">
    <xf numFmtId="0" fontId="0" fillId="0" borderId="0" xfId="0">
      <alignment vertical="center"/>
    </xf>
    <xf numFmtId="0" fontId="7" fillId="0" borderId="0" xfId="0" applyFont="1" applyAlignment="1">
      <alignment horizontal="center" vertical="center"/>
    </xf>
    <xf numFmtId="0" fontId="8" fillId="0" borderId="0" xfId="0" applyFont="1">
      <alignment vertical="center"/>
    </xf>
    <xf numFmtId="0" fontId="8" fillId="0" borderId="0" xfId="0" applyFont="1" applyAlignment="1">
      <alignment vertical="center" wrapText="1"/>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horizontal="justify" vertical="top" wrapText="1"/>
    </xf>
    <xf numFmtId="0" fontId="2" fillId="0" borderId="6" xfId="0" applyFont="1" applyBorder="1" applyAlignment="1">
      <alignment vertical="top" wrapText="1"/>
    </xf>
    <xf numFmtId="0" fontId="8" fillId="0" borderId="7" xfId="0" applyFont="1" applyBorder="1" applyAlignment="1">
      <alignment vertical="top"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5" xfId="0" applyFont="1" applyBorder="1" applyAlignment="1">
      <alignment horizontal="justify" vertical="top" wrapText="1"/>
    </xf>
    <xf numFmtId="0" fontId="8" fillId="0" borderId="6" xfId="0" applyFont="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0" fontId="4" fillId="0" borderId="6" xfId="0" applyFont="1" applyBorder="1" applyAlignment="1">
      <alignment vertical="top" wrapText="1"/>
    </xf>
    <xf numFmtId="0" fontId="4" fillId="0" borderId="6" xfId="0" applyFont="1" applyBorder="1" applyAlignment="1">
      <alignment vertical="center" wrapText="1"/>
    </xf>
    <xf numFmtId="0" fontId="2" fillId="0" borderId="5" xfId="0" applyFont="1" applyBorder="1" applyAlignment="1">
      <alignment vertical="center" wrapText="1"/>
    </xf>
    <xf numFmtId="0" fontId="7" fillId="0" borderId="0" xfId="0" applyFont="1" applyBorder="1" applyAlignment="1">
      <alignment horizontal="center" vertical="center"/>
    </xf>
    <xf numFmtId="0" fontId="8" fillId="0" borderId="0" xfId="0" applyFont="1" applyBorder="1">
      <alignment vertical="center"/>
    </xf>
    <xf numFmtId="0" fontId="2" fillId="0" borderId="15" xfId="0" applyFont="1" applyBorder="1" applyAlignment="1">
      <alignment horizontal="center" vertical="center" wrapText="1"/>
    </xf>
    <xf numFmtId="0" fontId="2" fillId="0" borderId="0" xfId="0" applyFont="1" applyBorder="1" applyAlignment="1">
      <alignment horizontal="center" vertical="center" wrapText="1"/>
    </xf>
    <xf numFmtId="0" fontId="2" fillId="2" borderId="16" xfId="0" applyFont="1" applyFill="1" applyBorder="1" applyAlignment="1">
      <alignment horizontal="center" vertical="center" wrapText="1"/>
    </xf>
    <xf numFmtId="0" fontId="1" fillId="0" borderId="6" xfId="0" applyFont="1" applyBorder="1" applyAlignment="1">
      <alignment vertical="top" wrapText="1"/>
    </xf>
    <xf numFmtId="0" fontId="2" fillId="0" borderId="17" xfId="0" applyFont="1" applyBorder="1" applyAlignment="1">
      <alignment vertical="top" wrapText="1"/>
    </xf>
    <xf numFmtId="0" fontId="2" fillId="0" borderId="18" xfId="0" applyFont="1" applyBorder="1" applyAlignment="1">
      <alignment vertical="top" wrapText="1"/>
    </xf>
    <xf numFmtId="0" fontId="8" fillId="0" borderId="19" xfId="0" applyFont="1" applyBorder="1" applyAlignment="1">
      <alignment vertical="top" wrapText="1"/>
    </xf>
    <xf numFmtId="0" fontId="2" fillId="0" borderId="20" xfId="0" applyFont="1" applyBorder="1" applyAlignment="1">
      <alignment horizontal="center" vertical="center" wrapText="1"/>
    </xf>
    <xf numFmtId="178" fontId="1" fillId="0" borderId="21" xfId="1" applyNumberFormat="1" applyFont="1" applyBorder="1" applyAlignment="1" applyProtection="1">
      <alignment horizontal="center" vertical="center"/>
    </xf>
    <xf numFmtId="176" fontId="1" fillId="0" borderId="21" xfId="1" applyNumberFormat="1" applyFont="1" applyBorder="1" applyAlignment="1" applyProtection="1">
      <alignment horizontal="center" vertical="center"/>
    </xf>
    <xf numFmtId="178" fontId="1" fillId="0" borderId="22" xfId="1" applyNumberFormat="1" applyFont="1" applyBorder="1" applyAlignment="1" applyProtection="1">
      <alignment horizontal="center" vertical="center"/>
    </xf>
    <xf numFmtId="0" fontId="3" fillId="0" borderId="23" xfId="0" applyFont="1" applyBorder="1" applyAlignment="1">
      <alignment horizontal="right" vertical="center"/>
    </xf>
    <xf numFmtId="0" fontId="8" fillId="0" borderId="18" xfId="0" applyFont="1" applyBorder="1" applyAlignment="1">
      <alignment vertical="top" wrapText="1"/>
    </xf>
    <xf numFmtId="0" fontId="2" fillId="0" borderId="9" xfId="0" applyFont="1" applyFill="1" applyBorder="1" applyAlignment="1">
      <alignment horizontal="center" vertical="center" wrapText="1"/>
    </xf>
    <xf numFmtId="0" fontId="1" fillId="0" borderId="0" xfId="0" applyFont="1">
      <alignment vertical="center"/>
    </xf>
    <xf numFmtId="177" fontId="1" fillId="0" borderId="21" xfId="1" applyNumberFormat="1" applyFont="1" applyBorder="1" applyAlignment="1" applyProtection="1">
      <alignment horizontal="center" vertical="center"/>
    </xf>
    <xf numFmtId="0" fontId="3" fillId="0" borderId="8" xfId="0" applyFont="1" applyBorder="1" applyAlignment="1">
      <alignment horizontal="right" vertical="center"/>
    </xf>
    <xf numFmtId="0" fontId="3" fillId="0" borderId="24" xfId="0" applyFont="1" applyBorder="1">
      <alignment vertical="center"/>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178" fontId="1" fillId="0" borderId="13" xfId="1" applyNumberFormat="1" applyFont="1" applyBorder="1" applyAlignment="1" applyProtection="1">
      <alignment horizontal="center" vertical="center"/>
    </xf>
    <xf numFmtId="177" fontId="1" fillId="0" borderId="13" xfId="1" applyNumberFormat="1" applyFont="1" applyBorder="1" applyAlignment="1" applyProtection="1">
      <alignment horizontal="center" vertical="center"/>
    </xf>
    <xf numFmtId="177" fontId="1" fillId="0" borderId="14"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176" fontId="1" fillId="0" borderId="4" xfId="1" applyNumberFormat="1" applyFont="1" applyBorder="1" applyAlignment="1" applyProtection="1">
      <alignment horizontal="center" vertical="center"/>
    </xf>
    <xf numFmtId="0" fontId="1" fillId="0" borderId="7" xfId="0" applyFont="1" applyBorder="1" applyAlignment="1">
      <alignment vertical="top" wrapText="1"/>
    </xf>
    <xf numFmtId="176" fontId="1" fillId="0" borderId="22" xfId="1" applyNumberFormat="1" applyFont="1" applyBorder="1" applyAlignment="1" applyProtection="1">
      <alignment horizontal="center" vertical="center"/>
    </xf>
    <xf numFmtId="0" fontId="2" fillId="0" borderId="18" xfId="0" applyFont="1" applyBorder="1" applyAlignment="1">
      <alignment horizontal="justify" vertical="top" wrapText="1"/>
    </xf>
    <xf numFmtId="0" fontId="10" fillId="2" borderId="10" xfId="0" applyFont="1" applyFill="1" applyBorder="1" applyAlignment="1">
      <alignment horizontal="center" vertical="center" wrapText="1"/>
    </xf>
    <xf numFmtId="0" fontId="4" fillId="0" borderId="8" xfId="0" applyFont="1" applyBorder="1" applyAlignment="1">
      <alignment horizontal="center" vertical="center" shrinkToFit="1"/>
    </xf>
    <xf numFmtId="0" fontId="4" fillId="0" borderId="9" xfId="0" applyFont="1" applyBorder="1" applyAlignment="1">
      <alignment horizontal="center" vertical="center" shrinkToFi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14" fillId="2" borderId="9" xfId="0" applyFont="1" applyFill="1" applyBorder="1" applyAlignment="1">
      <alignment horizontal="center" vertical="center" wrapText="1"/>
    </xf>
    <xf numFmtId="0" fontId="3" fillId="0" borderId="12" xfId="0" applyFont="1" applyBorder="1" applyAlignment="1">
      <alignment horizontal="left" vertical="center" shrinkToFit="1"/>
    </xf>
    <xf numFmtId="0" fontId="14" fillId="0" borderId="6" xfId="0" applyFont="1" applyFill="1" applyBorder="1" applyAlignment="1">
      <alignment horizontal="justify" vertical="top" wrapText="1"/>
    </xf>
    <xf numFmtId="0" fontId="14" fillId="0" borderId="6" xfId="0" applyFont="1" applyFill="1" applyBorder="1" applyAlignment="1">
      <alignment vertical="top" wrapText="1"/>
    </xf>
    <xf numFmtId="0" fontId="2" fillId="0" borderId="0" xfId="0" applyFont="1" applyAlignment="1">
      <alignment vertical="center" wrapText="1"/>
    </xf>
    <xf numFmtId="0" fontId="0" fillId="0" borderId="0" xfId="0" applyFont="1" applyFill="1">
      <alignment vertical="center"/>
    </xf>
    <xf numFmtId="0" fontId="0" fillId="0" borderId="0" xfId="0" applyFont="1">
      <alignment vertical="center"/>
    </xf>
    <xf numFmtId="0" fontId="2" fillId="0" borderId="0" xfId="0" applyFont="1" applyAlignment="1">
      <alignment vertical="center"/>
    </xf>
    <xf numFmtId="0" fontId="11" fillId="0" borderId="5" xfId="0" applyFont="1" applyBorder="1" applyAlignment="1">
      <alignment vertical="top" wrapText="1"/>
    </xf>
    <xf numFmtId="0" fontId="11" fillId="0" borderId="6" xfId="0" applyFont="1" applyBorder="1" applyAlignment="1">
      <alignment horizontal="justify" vertical="top" wrapText="1"/>
    </xf>
    <xf numFmtId="0" fontId="8" fillId="0" borderId="40" xfId="0" applyFont="1" applyBorder="1">
      <alignment vertical="center"/>
    </xf>
    <xf numFmtId="0" fontId="2" fillId="0" borderId="35" xfId="0" applyFont="1" applyBorder="1" applyAlignment="1">
      <alignment horizontal="center" vertical="center" wrapText="1"/>
    </xf>
    <xf numFmtId="0" fontId="2" fillId="0" borderId="1" xfId="0" applyFont="1" applyBorder="1" applyAlignment="1">
      <alignment horizontal="center" vertical="center" wrapText="1"/>
    </xf>
    <xf numFmtId="0" fontId="6" fillId="0" borderId="27" xfId="0" applyFont="1" applyBorder="1" applyAlignment="1">
      <alignment horizontal="center" vertical="center" textRotation="255" wrapText="1"/>
    </xf>
    <xf numFmtId="0" fontId="6" fillId="0" borderId="33" xfId="0" applyFont="1" applyBorder="1" applyAlignment="1">
      <alignment horizontal="center" vertical="center" textRotation="255" wrapText="1"/>
    </xf>
    <xf numFmtId="0" fontId="6" fillId="0" borderId="28" xfId="0" applyFont="1" applyBorder="1" applyAlignment="1">
      <alignment horizontal="center" vertical="center" textRotation="255" wrapText="1"/>
    </xf>
    <xf numFmtId="0" fontId="6" fillId="0" borderId="34" xfId="0" applyFont="1" applyBorder="1" applyAlignment="1">
      <alignment horizontal="center" vertical="center" textRotation="255" wrapText="1"/>
    </xf>
    <xf numFmtId="0" fontId="6" fillId="0" borderId="15" xfId="0" applyFont="1" applyBorder="1" applyAlignment="1">
      <alignment horizontal="left" vertical="center"/>
    </xf>
    <xf numFmtId="0" fontId="0" fillId="0" borderId="15" xfId="0" applyBorder="1" applyAlignment="1">
      <alignment horizontal="left" vertical="center"/>
    </xf>
    <xf numFmtId="0" fontId="2" fillId="0" borderId="0" xfId="0" applyFont="1" applyAlignment="1">
      <alignment vertical="center" wrapText="1"/>
    </xf>
    <xf numFmtId="0" fontId="2" fillId="0" borderId="36" xfId="0" applyFont="1" applyBorder="1" applyAlignment="1">
      <alignment horizontal="center" vertical="center" wrapText="1"/>
    </xf>
    <xf numFmtId="0" fontId="2" fillId="0" borderId="2" xfId="0" applyFont="1" applyBorder="1" applyAlignment="1">
      <alignment horizontal="center" vertical="center"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14" fillId="0" borderId="5" xfId="0" applyFont="1" applyBorder="1" applyAlignment="1">
      <alignment horizontal="left" vertical="top" wrapText="1"/>
    </xf>
    <xf numFmtId="0" fontId="14" fillId="0" borderId="6" xfId="0" applyFont="1" applyBorder="1" applyAlignment="1">
      <alignment horizontal="left" vertical="top" wrapText="1"/>
    </xf>
    <xf numFmtId="0" fontId="2" fillId="0" borderId="17" xfId="0" applyFont="1" applyBorder="1" applyAlignment="1">
      <alignment horizontal="left" vertical="center" wrapText="1"/>
    </xf>
    <xf numFmtId="0" fontId="2" fillId="0" borderId="18" xfId="0" applyFont="1" applyBorder="1" applyAlignment="1">
      <alignment horizontal="left" vertical="center" wrapText="1"/>
    </xf>
    <xf numFmtId="0" fontId="2" fillId="0" borderId="39"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13" xfId="0" applyFont="1" applyBorder="1" applyAlignment="1">
      <alignment horizontal="center" vertical="center" wrapText="1"/>
    </xf>
    <xf numFmtId="0" fontId="11" fillId="0" borderId="5" xfId="0" applyFont="1" applyBorder="1" applyAlignment="1">
      <alignment horizontal="left" vertical="top" wrapText="1"/>
    </xf>
    <xf numFmtId="0" fontId="11" fillId="0" borderId="6" xfId="0" applyFont="1" applyBorder="1" applyAlignment="1">
      <alignment horizontal="left" vertical="top" wrapText="1"/>
    </xf>
    <xf numFmtId="0" fontId="11" fillId="0" borderId="5" xfId="0" applyFont="1" applyBorder="1" applyAlignment="1">
      <alignment vertical="top" wrapText="1"/>
    </xf>
    <xf numFmtId="0" fontId="13" fillId="0" borderId="6"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center" wrapText="1"/>
    </xf>
    <xf numFmtId="0" fontId="0" fillId="0" borderId="6" xfId="0" applyBorder="1" applyAlignment="1">
      <alignment vertical="center" wrapText="1"/>
    </xf>
    <xf numFmtId="0" fontId="0" fillId="0" borderId="6" xfId="0" applyBorder="1" applyAlignment="1">
      <alignment vertical="top" wrapText="1"/>
    </xf>
    <xf numFmtId="0" fontId="12"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0" xfId="0" applyFont="1" applyBorder="1" applyAlignment="1">
      <alignment horizontal="center" vertical="center" wrapText="1"/>
    </xf>
    <xf numFmtId="0" fontId="2" fillId="0" borderId="18" xfId="0" applyFont="1" applyBorder="1" applyAlignment="1">
      <alignment horizontal="center" vertical="center" wrapText="1"/>
    </xf>
    <xf numFmtId="0" fontId="6" fillId="0" borderId="32" xfId="0" applyFont="1" applyBorder="1" applyAlignment="1">
      <alignment horizontal="center" vertical="center" textRotation="255" wrapText="1"/>
    </xf>
    <xf numFmtId="0" fontId="2" fillId="0" borderId="6" xfId="0" applyFont="1" applyBorder="1" applyAlignment="1">
      <alignment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7620</xdr:colOff>
      <xdr:row>2</xdr:row>
      <xdr:rowOff>0</xdr:rowOff>
    </xdr:from>
    <xdr:to>
      <xdr:col>2</xdr:col>
      <xdr:colOff>601980</xdr:colOff>
      <xdr:row>3</xdr:row>
      <xdr:rowOff>198120</xdr:rowOff>
    </xdr:to>
    <xdr:sp macro="" textlink="">
      <xdr:nvSpPr>
        <xdr:cNvPr id="118696" name="Line 1"/>
        <xdr:cNvSpPr>
          <a:spLocks noChangeShapeType="1"/>
        </xdr:cNvSpPr>
      </xdr:nvSpPr>
      <xdr:spPr bwMode="auto">
        <a:xfrm>
          <a:off x="1082040" y="4267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18697" name="Line 2"/>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16</xdr:row>
      <xdr:rowOff>0</xdr:rowOff>
    </xdr:from>
    <xdr:to>
      <xdr:col>2</xdr:col>
      <xdr:colOff>601980</xdr:colOff>
      <xdr:row>17</xdr:row>
      <xdr:rowOff>198120</xdr:rowOff>
    </xdr:to>
    <xdr:sp macro="" textlink="">
      <xdr:nvSpPr>
        <xdr:cNvPr id="118698" name="Line 3"/>
        <xdr:cNvSpPr>
          <a:spLocks noChangeShapeType="1"/>
        </xdr:cNvSpPr>
      </xdr:nvSpPr>
      <xdr:spPr bwMode="auto">
        <a:xfrm>
          <a:off x="1082040" y="33528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23</xdr:row>
      <xdr:rowOff>0</xdr:rowOff>
    </xdr:from>
    <xdr:to>
      <xdr:col>2</xdr:col>
      <xdr:colOff>601980</xdr:colOff>
      <xdr:row>24</xdr:row>
      <xdr:rowOff>198120</xdr:rowOff>
    </xdr:to>
    <xdr:sp macro="" textlink="">
      <xdr:nvSpPr>
        <xdr:cNvPr id="118699" name="Line 4"/>
        <xdr:cNvSpPr>
          <a:spLocks noChangeShapeType="1"/>
        </xdr:cNvSpPr>
      </xdr:nvSpPr>
      <xdr:spPr bwMode="auto">
        <a:xfrm>
          <a:off x="1082040" y="48463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30</xdr:row>
      <xdr:rowOff>0</xdr:rowOff>
    </xdr:from>
    <xdr:to>
      <xdr:col>2</xdr:col>
      <xdr:colOff>601980</xdr:colOff>
      <xdr:row>31</xdr:row>
      <xdr:rowOff>198120</xdr:rowOff>
    </xdr:to>
    <xdr:sp macro="" textlink="">
      <xdr:nvSpPr>
        <xdr:cNvPr id="118700" name="Line 6"/>
        <xdr:cNvSpPr>
          <a:spLocks noChangeShapeType="1"/>
        </xdr:cNvSpPr>
      </xdr:nvSpPr>
      <xdr:spPr bwMode="auto">
        <a:xfrm>
          <a:off x="1082040" y="63398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37</xdr:row>
      <xdr:rowOff>0</xdr:rowOff>
    </xdr:from>
    <xdr:to>
      <xdr:col>2</xdr:col>
      <xdr:colOff>601980</xdr:colOff>
      <xdr:row>38</xdr:row>
      <xdr:rowOff>198120</xdr:rowOff>
    </xdr:to>
    <xdr:sp macro="" textlink="">
      <xdr:nvSpPr>
        <xdr:cNvPr id="118701" name="Line 7"/>
        <xdr:cNvSpPr>
          <a:spLocks noChangeShapeType="1"/>
        </xdr:cNvSpPr>
      </xdr:nvSpPr>
      <xdr:spPr bwMode="auto">
        <a:xfrm>
          <a:off x="1082040" y="78333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100</xdr:row>
      <xdr:rowOff>0</xdr:rowOff>
    </xdr:from>
    <xdr:to>
      <xdr:col>2</xdr:col>
      <xdr:colOff>601980</xdr:colOff>
      <xdr:row>101</xdr:row>
      <xdr:rowOff>198120</xdr:rowOff>
    </xdr:to>
    <xdr:sp macro="" textlink="">
      <xdr:nvSpPr>
        <xdr:cNvPr id="118702" name="Line 9"/>
        <xdr:cNvSpPr>
          <a:spLocks noChangeShapeType="1"/>
        </xdr:cNvSpPr>
      </xdr:nvSpPr>
      <xdr:spPr bwMode="auto">
        <a:xfrm>
          <a:off x="1082040" y="212217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107</xdr:row>
      <xdr:rowOff>0</xdr:rowOff>
    </xdr:from>
    <xdr:to>
      <xdr:col>2</xdr:col>
      <xdr:colOff>601980</xdr:colOff>
      <xdr:row>108</xdr:row>
      <xdr:rowOff>198120</xdr:rowOff>
    </xdr:to>
    <xdr:sp macro="" textlink="">
      <xdr:nvSpPr>
        <xdr:cNvPr id="118703" name="Line 10"/>
        <xdr:cNvSpPr>
          <a:spLocks noChangeShapeType="1"/>
        </xdr:cNvSpPr>
      </xdr:nvSpPr>
      <xdr:spPr bwMode="auto">
        <a:xfrm>
          <a:off x="1082040" y="22738080"/>
          <a:ext cx="59436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114</xdr:row>
      <xdr:rowOff>0</xdr:rowOff>
    </xdr:from>
    <xdr:to>
      <xdr:col>2</xdr:col>
      <xdr:colOff>601980</xdr:colOff>
      <xdr:row>115</xdr:row>
      <xdr:rowOff>198120</xdr:rowOff>
    </xdr:to>
    <xdr:sp macro="" textlink="">
      <xdr:nvSpPr>
        <xdr:cNvPr id="118704" name="Line 11"/>
        <xdr:cNvSpPr>
          <a:spLocks noChangeShapeType="1"/>
        </xdr:cNvSpPr>
      </xdr:nvSpPr>
      <xdr:spPr bwMode="auto">
        <a:xfrm>
          <a:off x="1082040" y="24208740"/>
          <a:ext cx="594360" cy="525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121</xdr:row>
      <xdr:rowOff>0</xdr:rowOff>
    </xdr:from>
    <xdr:to>
      <xdr:col>2</xdr:col>
      <xdr:colOff>601980</xdr:colOff>
      <xdr:row>122</xdr:row>
      <xdr:rowOff>198120</xdr:rowOff>
    </xdr:to>
    <xdr:sp macro="" textlink="">
      <xdr:nvSpPr>
        <xdr:cNvPr id="118705" name="Line 12"/>
        <xdr:cNvSpPr>
          <a:spLocks noChangeShapeType="1"/>
        </xdr:cNvSpPr>
      </xdr:nvSpPr>
      <xdr:spPr bwMode="auto">
        <a:xfrm>
          <a:off x="1082040" y="25778460"/>
          <a:ext cx="594360" cy="4800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128</xdr:row>
      <xdr:rowOff>0</xdr:rowOff>
    </xdr:from>
    <xdr:to>
      <xdr:col>2</xdr:col>
      <xdr:colOff>601980</xdr:colOff>
      <xdr:row>129</xdr:row>
      <xdr:rowOff>388620</xdr:rowOff>
    </xdr:to>
    <xdr:sp macro="" textlink="">
      <xdr:nvSpPr>
        <xdr:cNvPr id="118706" name="Line 14"/>
        <xdr:cNvSpPr>
          <a:spLocks noChangeShapeType="1"/>
        </xdr:cNvSpPr>
      </xdr:nvSpPr>
      <xdr:spPr bwMode="auto">
        <a:xfrm>
          <a:off x="1082040" y="2734818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135</xdr:row>
      <xdr:rowOff>0</xdr:rowOff>
    </xdr:from>
    <xdr:to>
      <xdr:col>2</xdr:col>
      <xdr:colOff>601980</xdr:colOff>
      <xdr:row>136</xdr:row>
      <xdr:rowOff>388620</xdr:rowOff>
    </xdr:to>
    <xdr:sp macro="" textlink="">
      <xdr:nvSpPr>
        <xdr:cNvPr id="118707" name="Line 16"/>
        <xdr:cNvSpPr>
          <a:spLocks noChangeShapeType="1"/>
        </xdr:cNvSpPr>
      </xdr:nvSpPr>
      <xdr:spPr bwMode="auto">
        <a:xfrm>
          <a:off x="1082040" y="2953512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142</xdr:row>
      <xdr:rowOff>0</xdr:rowOff>
    </xdr:from>
    <xdr:to>
      <xdr:col>2</xdr:col>
      <xdr:colOff>601980</xdr:colOff>
      <xdr:row>143</xdr:row>
      <xdr:rowOff>198120</xdr:rowOff>
    </xdr:to>
    <xdr:sp macro="" textlink="">
      <xdr:nvSpPr>
        <xdr:cNvPr id="118708" name="Line 17"/>
        <xdr:cNvSpPr>
          <a:spLocks noChangeShapeType="1"/>
        </xdr:cNvSpPr>
      </xdr:nvSpPr>
      <xdr:spPr bwMode="auto">
        <a:xfrm>
          <a:off x="1082040" y="31722060"/>
          <a:ext cx="594360" cy="510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198</xdr:row>
      <xdr:rowOff>0</xdr:rowOff>
    </xdr:from>
    <xdr:to>
      <xdr:col>2</xdr:col>
      <xdr:colOff>601980</xdr:colOff>
      <xdr:row>199</xdr:row>
      <xdr:rowOff>198120</xdr:rowOff>
    </xdr:to>
    <xdr:sp macro="" textlink="">
      <xdr:nvSpPr>
        <xdr:cNvPr id="118709" name="Line 21"/>
        <xdr:cNvSpPr>
          <a:spLocks noChangeShapeType="1"/>
        </xdr:cNvSpPr>
      </xdr:nvSpPr>
      <xdr:spPr bwMode="auto">
        <a:xfrm>
          <a:off x="1082040" y="50269140"/>
          <a:ext cx="594360" cy="441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xdr:row>
      <xdr:rowOff>0</xdr:rowOff>
    </xdr:from>
    <xdr:to>
      <xdr:col>2</xdr:col>
      <xdr:colOff>601980</xdr:colOff>
      <xdr:row>3</xdr:row>
      <xdr:rowOff>198120</xdr:rowOff>
    </xdr:to>
    <xdr:sp macro="" textlink="">
      <xdr:nvSpPr>
        <xdr:cNvPr id="118710" name="Line 1"/>
        <xdr:cNvSpPr>
          <a:spLocks noChangeShapeType="1"/>
        </xdr:cNvSpPr>
      </xdr:nvSpPr>
      <xdr:spPr bwMode="auto">
        <a:xfrm>
          <a:off x="1082040" y="4267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xdr:row>
      <xdr:rowOff>0</xdr:rowOff>
    </xdr:from>
    <xdr:to>
      <xdr:col>2</xdr:col>
      <xdr:colOff>601980</xdr:colOff>
      <xdr:row>3</xdr:row>
      <xdr:rowOff>198120</xdr:rowOff>
    </xdr:to>
    <xdr:sp macro="" textlink="">
      <xdr:nvSpPr>
        <xdr:cNvPr id="118711" name="Line 8"/>
        <xdr:cNvSpPr>
          <a:spLocks noChangeShapeType="1"/>
        </xdr:cNvSpPr>
      </xdr:nvSpPr>
      <xdr:spPr bwMode="auto">
        <a:xfrm>
          <a:off x="1082040" y="4267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2</xdr:row>
      <xdr:rowOff>30480</xdr:rowOff>
    </xdr:from>
    <xdr:to>
      <xdr:col>3</xdr:col>
      <xdr:colOff>7620</xdr:colOff>
      <xdr:row>4</xdr:row>
      <xdr:rowOff>7620</xdr:rowOff>
    </xdr:to>
    <xdr:sp macro="" textlink="">
      <xdr:nvSpPr>
        <xdr:cNvPr id="118712" name="Line 11"/>
        <xdr:cNvSpPr>
          <a:spLocks noChangeShapeType="1"/>
        </xdr:cNvSpPr>
      </xdr:nvSpPr>
      <xdr:spPr bwMode="auto">
        <a:xfrm>
          <a:off x="1112520" y="4572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xdr:row>
      <xdr:rowOff>0</xdr:rowOff>
    </xdr:from>
    <xdr:to>
      <xdr:col>2</xdr:col>
      <xdr:colOff>601980</xdr:colOff>
      <xdr:row>3</xdr:row>
      <xdr:rowOff>198120</xdr:rowOff>
    </xdr:to>
    <xdr:sp macro="" textlink="">
      <xdr:nvSpPr>
        <xdr:cNvPr id="118713" name="Line 8"/>
        <xdr:cNvSpPr>
          <a:spLocks noChangeShapeType="1"/>
        </xdr:cNvSpPr>
      </xdr:nvSpPr>
      <xdr:spPr bwMode="auto">
        <a:xfrm>
          <a:off x="1082040" y="4267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2</xdr:row>
      <xdr:rowOff>30480</xdr:rowOff>
    </xdr:from>
    <xdr:to>
      <xdr:col>3</xdr:col>
      <xdr:colOff>7620</xdr:colOff>
      <xdr:row>4</xdr:row>
      <xdr:rowOff>7620</xdr:rowOff>
    </xdr:to>
    <xdr:sp macro="" textlink="">
      <xdr:nvSpPr>
        <xdr:cNvPr id="118714" name="Line 11"/>
        <xdr:cNvSpPr>
          <a:spLocks noChangeShapeType="1"/>
        </xdr:cNvSpPr>
      </xdr:nvSpPr>
      <xdr:spPr bwMode="auto">
        <a:xfrm>
          <a:off x="1112520" y="4572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18715" name="Line 2"/>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18716" name="Line 1"/>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18717" name="Line 8"/>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9</xdr:row>
      <xdr:rowOff>30480</xdr:rowOff>
    </xdr:from>
    <xdr:to>
      <xdr:col>3</xdr:col>
      <xdr:colOff>7620</xdr:colOff>
      <xdr:row>11</xdr:row>
      <xdr:rowOff>7620</xdr:rowOff>
    </xdr:to>
    <xdr:sp macro="" textlink="">
      <xdr:nvSpPr>
        <xdr:cNvPr id="118718" name="Line 11"/>
        <xdr:cNvSpPr>
          <a:spLocks noChangeShapeType="1"/>
        </xdr:cNvSpPr>
      </xdr:nvSpPr>
      <xdr:spPr bwMode="auto">
        <a:xfrm>
          <a:off x="1112520" y="19507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18719" name="Line 8"/>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9</xdr:row>
      <xdr:rowOff>30480</xdr:rowOff>
    </xdr:from>
    <xdr:to>
      <xdr:col>3</xdr:col>
      <xdr:colOff>7620</xdr:colOff>
      <xdr:row>11</xdr:row>
      <xdr:rowOff>7620</xdr:rowOff>
    </xdr:to>
    <xdr:sp macro="" textlink="">
      <xdr:nvSpPr>
        <xdr:cNvPr id="118720" name="Line 11"/>
        <xdr:cNvSpPr>
          <a:spLocks noChangeShapeType="1"/>
        </xdr:cNvSpPr>
      </xdr:nvSpPr>
      <xdr:spPr bwMode="auto">
        <a:xfrm>
          <a:off x="1112520" y="19507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18721" name="Line 1"/>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18722" name="Line 8"/>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9</xdr:row>
      <xdr:rowOff>30480</xdr:rowOff>
    </xdr:from>
    <xdr:to>
      <xdr:col>3</xdr:col>
      <xdr:colOff>7620</xdr:colOff>
      <xdr:row>11</xdr:row>
      <xdr:rowOff>7620</xdr:rowOff>
    </xdr:to>
    <xdr:sp macro="" textlink="">
      <xdr:nvSpPr>
        <xdr:cNvPr id="118723" name="Line 11"/>
        <xdr:cNvSpPr>
          <a:spLocks noChangeShapeType="1"/>
        </xdr:cNvSpPr>
      </xdr:nvSpPr>
      <xdr:spPr bwMode="auto">
        <a:xfrm>
          <a:off x="1112520" y="19507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18724" name="Line 8"/>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9</xdr:row>
      <xdr:rowOff>30480</xdr:rowOff>
    </xdr:from>
    <xdr:to>
      <xdr:col>3</xdr:col>
      <xdr:colOff>7620</xdr:colOff>
      <xdr:row>11</xdr:row>
      <xdr:rowOff>7620</xdr:rowOff>
    </xdr:to>
    <xdr:sp macro="" textlink="">
      <xdr:nvSpPr>
        <xdr:cNvPr id="118725" name="Line 11"/>
        <xdr:cNvSpPr>
          <a:spLocks noChangeShapeType="1"/>
        </xdr:cNvSpPr>
      </xdr:nvSpPr>
      <xdr:spPr bwMode="auto">
        <a:xfrm>
          <a:off x="1112520" y="19507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18726" name="Line 17"/>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16</xdr:row>
      <xdr:rowOff>0</xdr:rowOff>
    </xdr:from>
    <xdr:to>
      <xdr:col>2</xdr:col>
      <xdr:colOff>601980</xdr:colOff>
      <xdr:row>17</xdr:row>
      <xdr:rowOff>198120</xdr:rowOff>
    </xdr:to>
    <xdr:sp macro="" textlink="">
      <xdr:nvSpPr>
        <xdr:cNvPr id="118727" name="Line 18"/>
        <xdr:cNvSpPr>
          <a:spLocks noChangeShapeType="1"/>
        </xdr:cNvSpPr>
      </xdr:nvSpPr>
      <xdr:spPr bwMode="auto">
        <a:xfrm>
          <a:off x="1082040" y="33528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23</xdr:row>
      <xdr:rowOff>0</xdr:rowOff>
    </xdr:from>
    <xdr:to>
      <xdr:col>2</xdr:col>
      <xdr:colOff>601980</xdr:colOff>
      <xdr:row>24</xdr:row>
      <xdr:rowOff>198120</xdr:rowOff>
    </xdr:to>
    <xdr:sp macro="" textlink="">
      <xdr:nvSpPr>
        <xdr:cNvPr id="118728" name="Line 19"/>
        <xdr:cNvSpPr>
          <a:spLocks noChangeShapeType="1"/>
        </xdr:cNvSpPr>
      </xdr:nvSpPr>
      <xdr:spPr bwMode="auto">
        <a:xfrm>
          <a:off x="1082040" y="48463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16</xdr:row>
      <xdr:rowOff>0</xdr:rowOff>
    </xdr:from>
    <xdr:to>
      <xdr:col>2</xdr:col>
      <xdr:colOff>601980</xdr:colOff>
      <xdr:row>17</xdr:row>
      <xdr:rowOff>198120</xdr:rowOff>
    </xdr:to>
    <xdr:sp macro="" textlink="">
      <xdr:nvSpPr>
        <xdr:cNvPr id="118729" name="Line 18"/>
        <xdr:cNvSpPr>
          <a:spLocks noChangeShapeType="1"/>
        </xdr:cNvSpPr>
      </xdr:nvSpPr>
      <xdr:spPr bwMode="auto">
        <a:xfrm>
          <a:off x="1082040" y="33528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23</xdr:row>
      <xdr:rowOff>0</xdr:rowOff>
    </xdr:from>
    <xdr:to>
      <xdr:col>2</xdr:col>
      <xdr:colOff>601980</xdr:colOff>
      <xdr:row>24</xdr:row>
      <xdr:rowOff>198120</xdr:rowOff>
    </xdr:to>
    <xdr:sp macro="" textlink="">
      <xdr:nvSpPr>
        <xdr:cNvPr id="118730" name="Line 19"/>
        <xdr:cNvSpPr>
          <a:spLocks noChangeShapeType="1"/>
        </xdr:cNvSpPr>
      </xdr:nvSpPr>
      <xdr:spPr bwMode="auto">
        <a:xfrm>
          <a:off x="1082040" y="48463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30</xdr:row>
      <xdr:rowOff>0</xdr:rowOff>
    </xdr:from>
    <xdr:to>
      <xdr:col>2</xdr:col>
      <xdr:colOff>601980</xdr:colOff>
      <xdr:row>31</xdr:row>
      <xdr:rowOff>198120</xdr:rowOff>
    </xdr:to>
    <xdr:sp macro="" textlink="">
      <xdr:nvSpPr>
        <xdr:cNvPr id="118731" name="Line 20"/>
        <xdr:cNvSpPr>
          <a:spLocks noChangeShapeType="1"/>
        </xdr:cNvSpPr>
      </xdr:nvSpPr>
      <xdr:spPr bwMode="auto">
        <a:xfrm>
          <a:off x="1082040" y="63398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37</xdr:row>
      <xdr:rowOff>0</xdr:rowOff>
    </xdr:from>
    <xdr:to>
      <xdr:col>2</xdr:col>
      <xdr:colOff>601980</xdr:colOff>
      <xdr:row>38</xdr:row>
      <xdr:rowOff>198120</xdr:rowOff>
    </xdr:to>
    <xdr:sp macro="" textlink="">
      <xdr:nvSpPr>
        <xdr:cNvPr id="118732" name="Line 20"/>
        <xdr:cNvSpPr>
          <a:spLocks noChangeShapeType="1"/>
        </xdr:cNvSpPr>
      </xdr:nvSpPr>
      <xdr:spPr bwMode="auto">
        <a:xfrm>
          <a:off x="1082040" y="78333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33" name="Line 3"/>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8734" name="Line 4"/>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8735" name="Line 6"/>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8736" name="Line 7"/>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37" name="Line 2"/>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38"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39"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40"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41"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42"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43"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44"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45"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46"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47"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48" name="Line 2"/>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49"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50"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51"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52"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53"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54"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55"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56"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57"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58"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59" name="Line 2"/>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60"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61"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62"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63"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64"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65"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66"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67"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68"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69"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70" name="Line 2"/>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71"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72"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73"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74"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75"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76"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77"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78"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18779"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44</xdr:row>
      <xdr:rowOff>30480</xdr:rowOff>
    </xdr:from>
    <xdr:to>
      <xdr:col>3</xdr:col>
      <xdr:colOff>7620</xdr:colOff>
      <xdr:row>46</xdr:row>
      <xdr:rowOff>7620</xdr:rowOff>
    </xdr:to>
    <xdr:sp macro="" textlink="">
      <xdr:nvSpPr>
        <xdr:cNvPr id="118780" name="Line 11"/>
        <xdr:cNvSpPr>
          <a:spLocks noChangeShapeType="1"/>
        </xdr:cNvSpPr>
      </xdr:nvSpPr>
      <xdr:spPr bwMode="auto">
        <a:xfrm>
          <a:off x="1112520" y="93573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8781" name="Line 3"/>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8782" name="Line 2"/>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8783"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08"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09"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10"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11"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12"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13"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14"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15"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16"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17" name="Line 2"/>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18"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19"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20"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21"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22"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23"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24"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25"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26"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27"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28" name="Line 2"/>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29"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30"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31"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32"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33"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34"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35"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36"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37"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38"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39" name="Line 2"/>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40"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41"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42"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43"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44"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45"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46"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47"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19848"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51</xdr:row>
      <xdr:rowOff>30480</xdr:rowOff>
    </xdr:from>
    <xdr:to>
      <xdr:col>3</xdr:col>
      <xdr:colOff>7620</xdr:colOff>
      <xdr:row>53</xdr:row>
      <xdr:rowOff>7620</xdr:rowOff>
    </xdr:to>
    <xdr:sp macro="" textlink="">
      <xdr:nvSpPr>
        <xdr:cNvPr id="119849" name="Line 11"/>
        <xdr:cNvSpPr>
          <a:spLocks noChangeShapeType="1"/>
        </xdr:cNvSpPr>
      </xdr:nvSpPr>
      <xdr:spPr bwMode="auto">
        <a:xfrm>
          <a:off x="1112520" y="1085088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50" name="Line 4"/>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51" name="Line 3"/>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52" name="Line 2"/>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53"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54"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55"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56"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57"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58"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59"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60"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61"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62"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63" name="Line 2"/>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64"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65"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66"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67"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68"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69"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70"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71"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72"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73"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74" name="Line 2"/>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75"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76"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77"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78"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79"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80"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81"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82"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83"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84"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85" name="Line 2"/>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86"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87"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88"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89"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90"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91"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92"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93"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94"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895"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96" name="Line 4"/>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97" name="Line 3"/>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98" name="Line 2"/>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899"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00"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01"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02"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03"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04"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05"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06"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07"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08"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09" name="Line 2"/>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10"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11"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12"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13"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14"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15"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16"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17"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18"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19"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20" name="Line 2"/>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21"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22"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23"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24"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25"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26"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27"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28"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29"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30"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31" name="Line 2"/>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32"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33"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34"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35"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36"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37"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38"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39"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19940"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58</xdr:row>
      <xdr:rowOff>30480</xdr:rowOff>
    </xdr:from>
    <xdr:to>
      <xdr:col>3</xdr:col>
      <xdr:colOff>7620</xdr:colOff>
      <xdr:row>60</xdr:row>
      <xdr:rowOff>7620</xdr:rowOff>
    </xdr:to>
    <xdr:sp macro="" textlink="">
      <xdr:nvSpPr>
        <xdr:cNvPr id="119941" name="Line 11"/>
        <xdr:cNvSpPr>
          <a:spLocks noChangeShapeType="1"/>
        </xdr:cNvSpPr>
      </xdr:nvSpPr>
      <xdr:spPr bwMode="auto">
        <a:xfrm>
          <a:off x="1112520" y="1234440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42" name="Line 6"/>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43" name="Line 4"/>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44" name="Line 3"/>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45" name="Line 2"/>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46"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47"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48"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49"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50"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51"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52"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53"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54"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55"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56" name="Line 2"/>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57"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58"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59"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60"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61"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62"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63"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64"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65"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66"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67" name="Line 2"/>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68"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69"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70"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71"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72"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73"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74"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75"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76"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77"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78" name="Line 2"/>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79"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80"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81"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82"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83"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84"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85"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86"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87"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88"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89" name="Line 4"/>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90" name="Line 3"/>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91" name="Line 2"/>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92"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93"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94"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95"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96"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97"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19998"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19999"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00"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01"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02" name="Line 2"/>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03"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04"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05"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06"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07"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08"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09"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10"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11"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12"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13" name="Line 2"/>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14"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15"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16"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17"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18"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19"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20"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21"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22"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23"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24" name="Line 2"/>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25"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26"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27"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28"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29"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30"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31"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32"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033"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65</xdr:row>
      <xdr:rowOff>30480</xdr:rowOff>
    </xdr:from>
    <xdr:to>
      <xdr:col>3</xdr:col>
      <xdr:colOff>7620</xdr:colOff>
      <xdr:row>67</xdr:row>
      <xdr:rowOff>7620</xdr:rowOff>
    </xdr:to>
    <xdr:sp macro="" textlink="">
      <xdr:nvSpPr>
        <xdr:cNvPr id="120034" name="Line 11"/>
        <xdr:cNvSpPr>
          <a:spLocks noChangeShapeType="1"/>
        </xdr:cNvSpPr>
      </xdr:nvSpPr>
      <xdr:spPr bwMode="auto">
        <a:xfrm>
          <a:off x="1112520" y="1383792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35" name="Line 6"/>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036" name="Line 7"/>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37" name="Line 4"/>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38" name="Line 3"/>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39" name="Line 2"/>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40"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41"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42"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43"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44"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45"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46"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47"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48"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49"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50" name="Line 2"/>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51"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52"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53"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54"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55"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56"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57"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58"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59"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60"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61" name="Line 2"/>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62"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63"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64"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65"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66"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67"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68"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69"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70"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71"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72" name="Line 2"/>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73"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74"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75"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76"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77"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78"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79"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80"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81"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82"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83" name="Line 4"/>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84" name="Line 3"/>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85" name="Line 2"/>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86"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87"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88"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89"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90"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91"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92"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93"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94"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95"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96" name="Line 2"/>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97"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098"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099"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00"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01"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02"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03"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04"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05"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06"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07" name="Line 2"/>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08"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09"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10"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11"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12"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13"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14"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15"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16"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17"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18" name="Line 2"/>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19"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20"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21"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22"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23"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24"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25"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26"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127"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72</xdr:row>
      <xdr:rowOff>30480</xdr:rowOff>
    </xdr:from>
    <xdr:to>
      <xdr:col>3</xdr:col>
      <xdr:colOff>7620</xdr:colOff>
      <xdr:row>74</xdr:row>
      <xdr:rowOff>7620</xdr:rowOff>
    </xdr:to>
    <xdr:sp macro="" textlink="">
      <xdr:nvSpPr>
        <xdr:cNvPr id="120128" name="Line 11"/>
        <xdr:cNvSpPr>
          <a:spLocks noChangeShapeType="1"/>
        </xdr:cNvSpPr>
      </xdr:nvSpPr>
      <xdr:spPr bwMode="auto">
        <a:xfrm>
          <a:off x="1112520" y="1533144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29" name="Line 6"/>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30" name="Line 4"/>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31" name="Line 3"/>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32" name="Line 2"/>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33"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34"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35"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36"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37"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38"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39"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40"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41"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42"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43" name="Line 2"/>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44"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45"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46"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47"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48"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49"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50"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51"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52"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53"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54" name="Line 2"/>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55"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56"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57"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58"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59"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60"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61"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62"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63"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64"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65" name="Line 2"/>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66"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67"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68"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69"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70"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71"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72"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73"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74"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75"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76" name="Line 4"/>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77" name="Line 3"/>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78" name="Line 2"/>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79"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80"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81"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82"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83"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84"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85"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86"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87"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88"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89" name="Line 2"/>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90"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91"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92"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93"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94"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95"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96"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97"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198"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199"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00" name="Line 2"/>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01"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02"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203"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04"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205"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06"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07"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208"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09"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210"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11" name="Line 2"/>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12"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13"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214"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15"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216"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17"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18"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219"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20"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79</xdr:row>
      <xdr:rowOff>30480</xdr:rowOff>
    </xdr:from>
    <xdr:to>
      <xdr:col>3</xdr:col>
      <xdr:colOff>7620</xdr:colOff>
      <xdr:row>81</xdr:row>
      <xdr:rowOff>7620</xdr:rowOff>
    </xdr:to>
    <xdr:sp macro="" textlink="">
      <xdr:nvSpPr>
        <xdr:cNvPr id="120221" name="Line 11"/>
        <xdr:cNvSpPr>
          <a:spLocks noChangeShapeType="1"/>
        </xdr:cNvSpPr>
      </xdr:nvSpPr>
      <xdr:spPr bwMode="auto">
        <a:xfrm>
          <a:off x="1112520" y="16824960"/>
          <a:ext cx="58674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86</xdr:row>
      <xdr:rowOff>0</xdr:rowOff>
    </xdr:from>
    <xdr:to>
      <xdr:col>2</xdr:col>
      <xdr:colOff>601980</xdr:colOff>
      <xdr:row>87</xdr:row>
      <xdr:rowOff>198120</xdr:rowOff>
    </xdr:to>
    <xdr:sp macro="" textlink="">
      <xdr:nvSpPr>
        <xdr:cNvPr id="120222" name="Line 11"/>
        <xdr:cNvSpPr>
          <a:spLocks noChangeShapeType="1"/>
        </xdr:cNvSpPr>
      </xdr:nvSpPr>
      <xdr:spPr bwMode="auto">
        <a:xfrm>
          <a:off x="1082040" y="182422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93</xdr:row>
      <xdr:rowOff>0</xdr:rowOff>
    </xdr:from>
    <xdr:to>
      <xdr:col>2</xdr:col>
      <xdr:colOff>601980</xdr:colOff>
      <xdr:row>94</xdr:row>
      <xdr:rowOff>198120</xdr:rowOff>
    </xdr:to>
    <xdr:sp macro="" textlink="">
      <xdr:nvSpPr>
        <xdr:cNvPr id="120223" name="Line 12"/>
        <xdr:cNvSpPr>
          <a:spLocks noChangeShapeType="1"/>
        </xdr:cNvSpPr>
      </xdr:nvSpPr>
      <xdr:spPr bwMode="auto">
        <a:xfrm>
          <a:off x="1082040" y="19659600"/>
          <a:ext cx="594360" cy="4343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93</xdr:row>
      <xdr:rowOff>0</xdr:rowOff>
    </xdr:from>
    <xdr:to>
      <xdr:col>2</xdr:col>
      <xdr:colOff>601980</xdr:colOff>
      <xdr:row>94</xdr:row>
      <xdr:rowOff>198120</xdr:rowOff>
    </xdr:to>
    <xdr:sp macro="" textlink="">
      <xdr:nvSpPr>
        <xdr:cNvPr id="120224" name="Line 11"/>
        <xdr:cNvSpPr>
          <a:spLocks noChangeShapeType="1"/>
        </xdr:cNvSpPr>
      </xdr:nvSpPr>
      <xdr:spPr bwMode="auto">
        <a:xfrm>
          <a:off x="1082040" y="19659600"/>
          <a:ext cx="594360" cy="4343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135</xdr:row>
      <xdr:rowOff>0</xdr:rowOff>
    </xdr:from>
    <xdr:to>
      <xdr:col>2</xdr:col>
      <xdr:colOff>601980</xdr:colOff>
      <xdr:row>136</xdr:row>
      <xdr:rowOff>388620</xdr:rowOff>
    </xdr:to>
    <xdr:sp macro="" textlink="">
      <xdr:nvSpPr>
        <xdr:cNvPr id="120225" name="Line 15"/>
        <xdr:cNvSpPr>
          <a:spLocks noChangeShapeType="1"/>
        </xdr:cNvSpPr>
      </xdr:nvSpPr>
      <xdr:spPr bwMode="auto">
        <a:xfrm>
          <a:off x="1082040" y="2953512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142</xdr:row>
      <xdr:rowOff>0</xdr:rowOff>
    </xdr:from>
    <xdr:to>
      <xdr:col>2</xdr:col>
      <xdr:colOff>601980</xdr:colOff>
      <xdr:row>143</xdr:row>
      <xdr:rowOff>198120</xdr:rowOff>
    </xdr:to>
    <xdr:sp macro="" textlink="">
      <xdr:nvSpPr>
        <xdr:cNvPr id="120226" name="Line 16"/>
        <xdr:cNvSpPr>
          <a:spLocks noChangeShapeType="1"/>
        </xdr:cNvSpPr>
      </xdr:nvSpPr>
      <xdr:spPr bwMode="auto">
        <a:xfrm>
          <a:off x="1082040" y="31722060"/>
          <a:ext cx="594360" cy="510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142</xdr:row>
      <xdr:rowOff>0</xdr:rowOff>
    </xdr:from>
    <xdr:to>
      <xdr:col>2</xdr:col>
      <xdr:colOff>601980</xdr:colOff>
      <xdr:row>143</xdr:row>
      <xdr:rowOff>198120</xdr:rowOff>
    </xdr:to>
    <xdr:sp macro="" textlink="">
      <xdr:nvSpPr>
        <xdr:cNvPr id="120227" name="Line 15"/>
        <xdr:cNvSpPr>
          <a:spLocks noChangeShapeType="1"/>
        </xdr:cNvSpPr>
      </xdr:nvSpPr>
      <xdr:spPr bwMode="auto">
        <a:xfrm>
          <a:off x="1082040" y="31722060"/>
          <a:ext cx="594360" cy="510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86</xdr:row>
      <xdr:rowOff>0</xdr:rowOff>
    </xdr:from>
    <xdr:to>
      <xdr:col>2</xdr:col>
      <xdr:colOff>601980</xdr:colOff>
      <xdr:row>87</xdr:row>
      <xdr:rowOff>198120</xdr:rowOff>
    </xdr:to>
    <xdr:sp macro="" textlink="">
      <xdr:nvSpPr>
        <xdr:cNvPr id="120228" name="Line 10"/>
        <xdr:cNvSpPr>
          <a:spLocks noChangeShapeType="1"/>
        </xdr:cNvSpPr>
      </xdr:nvSpPr>
      <xdr:spPr bwMode="auto">
        <a:xfrm>
          <a:off x="1082040" y="182422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86</xdr:row>
      <xdr:rowOff>0</xdr:rowOff>
    </xdr:from>
    <xdr:to>
      <xdr:col>2</xdr:col>
      <xdr:colOff>601980</xdr:colOff>
      <xdr:row>87</xdr:row>
      <xdr:rowOff>198120</xdr:rowOff>
    </xdr:to>
    <xdr:sp macro="" textlink="">
      <xdr:nvSpPr>
        <xdr:cNvPr id="120229" name="Line 11"/>
        <xdr:cNvSpPr>
          <a:spLocks noChangeShapeType="1"/>
        </xdr:cNvSpPr>
      </xdr:nvSpPr>
      <xdr:spPr bwMode="auto">
        <a:xfrm>
          <a:off x="1082040" y="182422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149</xdr:row>
      <xdr:rowOff>0</xdr:rowOff>
    </xdr:from>
    <xdr:to>
      <xdr:col>3</xdr:col>
      <xdr:colOff>0</xdr:colOff>
      <xdr:row>151</xdr:row>
      <xdr:rowOff>0</xdr:rowOff>
    </xdr:to>
    <xdr:sp macro="" textlink="">
      <xdr:nvSpPr>
        <xdr:cNvPr id="120230" name="Line 14"/>
        <xdr:cNvSpPr>
          <a:spLocks noChangeShapeType="1"/>
        </xdr:cNvSpPr>
      </xdr:nvSpPr>
      <xdr:spPr bwMode="auto">
        <a:xfrm>
          <a:off x="1082040" y="33909000"/>
          <a:ext cx="60960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163</xdr:row>
      <xdr:rowOff>0</xdr:rowOff>
    </xdr:from>
    <xdr:to>
      <xdr:col>3</xdr:col>
      <xdr:colOff>0</xdr:colOff>
      <xdr:row>164</xdr:row>
      <xdr:rowOff>373380</xdr:rowOff>
    </xdr:to>
    <xdr:sp macro="" textlink="">
      <xdr:nvSpPr>
        <xdr:cNvPr id="120231" name="Line 15"/>
        <xdr:cNvSpPr>
          <a:spLocks noChangeShapeType="1"/>
        </xdr:cNvSpPr>
      </xdr:nvSpPr>
      <xdr:spPr bwMode="auto">
        <a:xfrm>
          <a:off x="1082040" y="38282880"/>
          <a:ext cx="60960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170</xdr:row>
      <xdr:rowOff>0</xdr:rowOff>
    </xdr:from>
    <xdr:to>
      <xdr:col>3</xdr:col>
      <xdr:colOff>7620</xdr:colOff>
      <xdr:row>172</xdr:row>
      <xdr:rowOff>7620</xdr:rowOff>
    </xdr:to>
    <xdr:sp macro="" textlink="">
      <xdr:nvSpPr>
        <xdr:cNvPr id="120232" name="Line 15"/>
        <xdr:cNvSpPr>
          <a:spLocks noChangeShapeType="1"/>
        </xdr:cNvSpPr>
      </xdr:nvSpPr>
      <xdr:spPr bwMode="auto">
        <a:xfrm>
          <a:off x="1082040" y="40469820"/>
          <a:ext cx="617220" cy="6324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177</xdr:row>
      <xdr:rowOff>0</xdr:rowOff>
    </xdr:from>
    <xdr:to>
      <xdr:col>3</xdr:col>
      <xdr:colOff>0</xdr:colOff>
      <xdr:row>179</xdr:row>
      <xdr:rowOff>0</xdr:rowOff>
    </xdr:to>
    <xdr:sp macro="" textlink="">
      <xdr:nvSpPr>
        <xdr:cNvPr id="120233" name="Line 15"/>
        <xdr:cNvSpPr>
          <a:spLocks noChangeShapeType="1"/>
        </xdr:cNvSpPr>
      </xdr:nvSpPr>
      <xdr:spPr bwMode="auto">
        <a:xfrm>
          <a:off x="1082040" y="42656760"/>
          <a:ext cx="60960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184</xdr:row>
      <xdr:rowOff>0</xdr:rowOff>
    </xdr:from>
    <xdr:to>
      <xdr:col>2</xdr:col>
      <xdr:colOff>601980</xdr:colOff>
      <xdr:row>185</xdr:row>
      <xdr:rowOff>198120</xdr:rowOff>
    </xdr:to>
    <xdr:sp macro="" textlink="">
      <xdr:nvSpPr>
        <xdr:cNvPr id="120234" name="Line 16"/>
        <xdr:cNvSpPr>
          <a:spLocks noChangeShapeType="1"/>
        </xdr:cNvSpPr>
      </xdr:nvSpPr>
      <xdr:spPr bwMode="auto">
        <a:xfrm>
          <a:off x="1082040" y="44912280"/>
          <a:ext cx="594360" cy="4495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191</xdr:row>
      <xdr:rowOff>0</xdr:rowOff>
    </xdr:from>
    <xdr:to>
      <xdr:col>2</xdr:col>
      <xdr:colOff>601980</xdr:colOff>
      <xdr:row>192</xdr:row>
      <xdr:rowOff>198120</xdr:rowOff>
    </xdr:to>
    <xdr:sp macro="" textlink="">
      <xdr:nvSpPr>
        <xdr:cNvPr id="120235" name="Line 17"/>
        <xdr:cNvSpPr>
          <a:spLocks noChangeShapeType="1"/>
        </xdr:cNvSpPr>
      </xdr:nvSpPr>
      <xdr:spPr bwMode="auto">
        <a:xfrm>
          <a:off x="1082040" y="47625000"/>
          <a:ext cx="59436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184</xdr:row>
      <xdr:rowOff>0</xdr:rowOff>
    </xdr:from>
    <xdr:to>
      <xdr:col>2</xdr:col>
      <xdr:colOff>601980</xdr:colOff>
      <xdr:row>185</xdr:row>
      <xdr:rowOff>198120</xdr:rowOff>
    </xdr:to>
    <xdr:sp macro="" textlink="">
      <xdr:nvSpPr>
        <xdr:cNvPr id="120236" name="Line 15"/>
        <xdr:cNvSpPr>
          <a:spLocks noChangeShapeType="1"/>
        </xdr:cNvSpPr>
      </xdr:nvSpPr>
      <xdr:spPr bwMode="auto">
        <a:xfrm>
          <a:off x="1082040" y="44912280"/>
          <a:ext cx="594360" cy="4495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191</xdr:row>
      <xdr:rowOff>0</xdr:rowOff>
    </xdr:from>
    <xdr:to>
      <xdr:col>2</xdr:col>
      <xdr:colOff>601980</xdr:colOff>
      <xdr:row>192</xdr:row>
      <xdr:rowOff>198120</xdr:rowOff>
    </xdr:to>
    <xdr:sp macro="" textlink="">
      <xdr:nvSpPr>
        <xdr:cNvPr id="120237" name="Line 16"/>
        <xdr:cNvSpPr>
          <a:spLocks noChangeShapeType="1"/>
        </xdr:cNvSpPr>
      </xdr:nvSpPr>
      <xdr:spPr bwMode="auto">
        <a:xfrm>
          <a:off x="1082040" y="47625000"/>
          <a:ext cx="59436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191</xdr:row>
      <xdr:rowOff>0</xdr:rowOff>
    </xdr:from>
    <xdr:to>
      <xdr:col>2</xdr:col>
      <xdr:colOff>601980</xdr:colOff>
      <xdr:row>192</xdr:row>
      <xdr:rowOff>198120</xdr:rowOff>
    </xdr:to>
    <xdr:sp macro="" textlink="">
      <xdr:nvSpPr>
        <xdr:cNvPr id="120238" name="Line 15"/>
        <xdr:cNvSpPr>
          <a:spLocks noChangeShapeType="1"/>
        </xdr:cNvSpPr>
      </xdr:nvSpPr>
      <xdr:spPr bwMode="auto">
        <a:xfrm>
          <a:off x="1082040" y="47625000"/>
          <a:ext cx="59436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20239" name="Line 1"/>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20240" name="Line 1"/>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20241" name="Line 8"/>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xdr:row>
      <xdr:rowOff>0</xdr:rowOff>
    </xdr:from>
    <xdr:to>
      <xdr:col>2</xdr:col>
      <xdr:colOff>601980</xdr:colOff>
      <xdr:row>10</xdr:row>
      <xdr:rowOff>198120</xdr:rowOff>
    </xdr:to>
    <xdr:sp macro="" textlink="">
      <xdr:nvSpPr>
        <xdr:cNvPr id="120242" name="Line 8"/>
        <xdr:cNvSpPr>
          <a:spLocks noChangeShapeType="1"/>
        </xdr:cNvSpPr>
      </xdr:nvSpPr>
      <xdr:spPr bwMode="auto">
        <a:xfrm>
          <a:off x="1082040" y="19202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16</xdr:row>
      <xdr:rowOff>0</xdr:rowOff>
    </xdr:from>
    <xdr:to>
      <xdr:col>2</xdr:col>
      <xdr:colOff>601980</xdr:colOff>
      <xdr:row>17</xdr:row>
      <xdr:rowOff>198120</xdr:rowOff>
    </xdr:to>
    <xdr:sp macro="" textlink="">
      <xdr:nvSpPr>
        <xdr:cNvPr id="120243" name="Line 1"/>
        <xdr:cNvSpPr>
          <a:spLocks noChangeShapeType="1"/>
        </xdr:cNvSpPr>
      </xdr:nvSpPr>
      <xdr:spPr bwMode="auto">
        <a:xfrm>
          <a:off x="1082040" y="33528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16</xdr:row>
      <xdr:rowOff>0</xdr:rowOff>
    </xdr:from>
    <xdr:to>
      <xdr:col>2</xdr:col>
      <xdr:colOff>601980</xdr:colOff>
      <xdr:row>17</xdr:row>
      <xdr:rowOff>198120</xdr:rowOff>
    </xdr:to>
    <xdr:sp macro="" textlink="">
      <xdr:nvSpPr>
        <xdr:cNvPr id="120244" name="Line 1"/>
        <xdr:cNvSpPr>
          <a:spLocks noChangeShapeType="1"/>
        </xdr:cNvSpPr>
      </xdr:nvSpPr>
      <xdr:spPr bwMode="auto">
        <a:xfrm>
          <a:off x="1082040" y="33528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16</xdr:row>
      <xdr:rowOff>0</xdr:rowOff>
    </xdr:from>
    <xdr:to>
      <xdr:col>2</xdr:col>
      <xdr:colOff>601980</xdr:colOff>
      <xdr:row>17</xdr:row>
      <xdr:rowOff>198120</xdr:rowOff>
    </xdr:to>
    <xdr:sp macro="" textlink="">
      <xdr:nvSpPr>
        <xdr:cNvPr id="120245" name="Line 8"/>
        <xdr:cNvSpPr>
          <a:spLocks noChangeShapeType="1"/>
        </xdr:cNvSpPr>
      </xdr:nvSpPr>
      <xdr:spPr bwMode="auto">
        <a:xfrm>
          <a:off x="1082040" y="33528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16</xdr:row>
      <xdr:rowOff>0</xdr:rowOff>
    </xdr:from>
    <xdr:to>
      <xdr:col>2</xdr:col>
      <xdr:colOff>601980</xdr:colOff>
      <xdr:row>17</xdr:row>
      <xdr:rowOff>198120</xdr:rowOff>
    </xdr:to>
    <xdr:sp macro="" textlink="">
      <xdr:nvSpPr>
        <xdr:cNvPr id="120246" name="Line 8"/>
        <xdr:cNvSpPr>
          <a:spLocks noChangeShapeType="1"/>
        </xdr:cNvSpPr>
      </xdr:nvSpPr>
      <xdr:spPr bwMode="auto">
        <a:xfrm>
          <a:off x="1082040" y="33528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23</xdr:row>
      <xdr:rowOff>0</xdr:rowOff>
    </xdr:from>
    <xdr:to>
      <xdr:col>2</xdr:col>
      <xdr:colOff>601980</xdr:colOff>
      <xdr:row>24</xdr:row>
      <xdr:rowOff>198120</xdr:rowOff>
    </xdr:to>
    <xdr:sp macro="" textlink="">
      <xdr:nvSpPr>
        <xdr:cNvPr id="120247" name="Line 1"/>
        <xdr:cNvSpPr>
          <a:spLocks noChangeShapeType="1"/>
        </xdr:cNvSpPr>
      </xdr:nvSpPr>
      <xdr:spPr bwMode="auto">
        <a:xfrm>
          <a:off x="1082040" y="48463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23</xdr:row>
      <xdr:rowOff>0</xdr:rowOff>
    </xdr:from>
    <xdr:to>
      <xdr:col>2</xdr:col>
      <xdr:colOff>601980</xdr:colOff>
      <xdr:row>24</xdr:row>
      <xdr:rowOff>198120</xdr:rowOff>
    </xdr:to>
    <xdr:sp macro="" textlink="">
      <xdr:nvSpPr>
        <xdr:cNvPr id="120248" name="Line 1"/>
        <xdr:cNvSpPr>
          <a:spLocks noChangeShapeType="1"/>
        </xdr:cNvSpPr>
      </xdr:nvSpPr>
      <xdr:spPr bwMode="auto">
        <a:xfrm>
          <a:off x="1082040" y="48463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23</xdr:row>
      <xdr:rowOff>0</xdr:rowOff>
    </xdr:from>
    <xdr:to>
      <xdr:col>2</xdr:col>
      <xdr:colOff>601980</xdr:colOff>
      <xdr:row>24</xdr:row>
      <xdr:rowOff>198120</xdr:rowOff>
    </xdr:to>
    <xdr:sp macro="" textlink="">
      <xdr:nvSpPr>
        <xdr:cNvPr id="120249" name="Line 8"/>
        <xdr:cNvSpPr>
          <a:spLocks noChangeShapeType="1"/>
        </xdr:cNvSpPr>
      </xdr:nvSpPr>
      <xdr:spPr bwMode="auto">
        <a:xfrm>
          <a:off x="1082040" y="48463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23</xdr:row>
      <xdr:rowOff>0</xdr:rowOff>
    </xdr:from>
    <xdr:to>
      <xdr:col>2</xdr:col>
      <xdr:colOff>601980</xdr:colOff>
      <xdr:row>24</xdr:row>
      <xdr:rowOff>198120</xdr:rowOff>
    </xdr:to>
    <xdr:sp macro="" textlink="">
      <xdr:nvSpPr>
        <xdr:cNvPr id="120250" name="Line 8"/>
        <xdr:cNvSpPr>
          <a:spLocks noChangeShapeType="1"/>
        </xdr:cNvSpPr>
      </xdr:nvSpPr>
      <xdr:spPr bwMode="auto">
        <a:xfrm>
          <a:off x="1082040" y="48463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30</xdr:row>
      <xdr:rowOff>0</xdr:rowOff>
    </xdr:from>
    <xdr:to>
      <xdr:col>2</xdr:col>
      <xdr:colOff>601980</xdr:colOff>
      <xdr:row>31</xdr:row>
      <xdr:rowOff>198120</xdr:rowOff>
    </xdr:to>
    <xdr:sp macro="" textlink="">
      <xdr:nvSpPr>
        <xdr:cNvPr id="120251" name="Line 1"/>
        <xdr:cNvSpPr>
          <a:spLocks noChangeShapeType="1"/>
        </xdr:cNvSpPr>
      </xdr:nvSpPr>
      <xdr:spPr bwMode="auto">
        <a:xfrm>
          <a:off x="1082040" y="63398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30</xdr:row>
      <xdr:rowOff>0</xdr:rowOff>
    </xdr:from>
    <xdr:to>
      <xdr:col>2</xdr:col>
      <xdr:colOff>601980</xdr:colOff>
      <xdr:row>31</xdr:row>
      <xdr:rowOff>198120</xdr:rowOff>
    </xdr:to>
    <xdr:sp macro="" textlink="">
      <xdr:nvSpPr>
        <xdr:cNvPr id="120252" name="Line 1"/>
        <xdr:cNvSpPr>
          <a:spLocks noChangeShapeType="1"/>
        </xdr:cNvSpPr>
      </xdr:nvSpPr>
      <xdr:spPr bwMode="auto">
        <a:xfrm>
          <a:off x="1082040" y="63398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30</xdr:row>
      <xdr:rowOff>0</xdr:rowOff>
    </xdr:from>
    <xdr:to>
      <xdr:col>2</xdr:col>
      <xdr:colOff>601980</xdr:colOff>
      <xdr:row>31</xdr:row>
      <xdr:rowOff>198120</xdr:rowOff>
    </xdr:to>
    <xdr:sp macro="" textlink="">
      <xdr:nvSpPr>
        <xdr:cNvPr id="120253" name="Line 8"/>
        <xdr:cNvSpPr>
          <a:spLocks noChangeShapeType="1"/>
        </xdr:cNvSpPr>
      </xdr:nvSpPr>
      <xdr:spPr bwMode="auto">
        <a:xfrm>
          <a:off x="1082040" y="63398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30</xdr:row>
      <xdr:rowOff>0</xdr:rowOff>
    </xdr:from>
    <xdr:to>
      <xdr:col>2</xdr:col>
      <xdr:colOff>601980</xdr:colOff>
      <xdr:row>31</xdr:row>
      <xdr:rowOff>198120</xdr:rowOff>
    </xdr:to>
    <xdr:sp macro="" textlink="">
      <xdr:nvSpPr>
        <xdr:cNvPr id="120254" name="Line 8"/>
        <xdr:cNvSpPr>
          <a:spLocks noChangeShapeType="1"/>
        </xdr:cNvSpPr>
      </xdr:nvSpPr>
      <xdr:spPr bwMode="auto">
        <a:xfrm>
          <a:off x="1082040" y="63398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37</xdr:row>
      <xdr:rowOff>0</xdr:rowOff>
    </xdr:from>
    <xdr:to>
      <xdr:col>2</xdr:col>
      <xdr:colOff>601980</xdr:colOff>
      <xdr:row>38</xdr:row>
      <xdr:rowOff>198120</xdr:rowOff>
    </xdr:to>
    <xdr:sp macro="" textlink="">
      <xdr:nvSpPr>
        <xdr:cNvPr id="120255" name="Line 1"/>
        <xdr:cNvSpPr>
          <a:spLocks noChangeShapeType="1"/>
        </xdr:cNvSpPr>
      </xdr:nvSpPr>
      <xdr:spPr bwMode="auto">
        <a:xfrm>
          <a:off x="1082040" y="78333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37</xdr:row>
      <xdr:rowOff>0</xdr:rowOff>
    </xdr:from>
    <xdr:to>
      <xdr:col>2</xdr:col>
      <xdr:colOff>601980</xdr:colOff>
      <xdr:row>38</xdr:row>
      <xdr:rowOff>198120</xdr:rowOff>
    </xdr:to>
    <xdr:sp macro="" textlink="">
      <xdr:nvSpPr>
        <xdr:cNvPr id="120256" name="Line 1"/>
        <xdr:cNvSpPr>
          <a:spLocks noChangeShapeType="1"/>
        </xdr:cNvSpPr>
      </xdr:nvSpPr>
      <xdr:spPr bwMode="auto">
        <a:xfrm>
          <a:off x="1082040" y="78333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37</xdr:row>
      <xdr:rowOff>0</xdr:rowOff>
    </xdr:from>
    <xdr:to>
      <xdr:col>2</xdr:col>
      <xdr:colOff>601980</xdr:colOff>
      <xdr:row>38</xdr:row>
      <xdr:rowOff>198120</xdr:rowOff>
    </xdr:to>
    <xdr:sp macro="" textlink="">
      <xdr:nvSpPr>
        <xdr:cNvPr id="120257" name="Line 8"/>
        <xdr:cNvSpPr>
          <a:spLocks noChangeShapeType="1"/>
        </xdr:cNvSpPr>
      </xdr:nvSpPr>
      <xdr:spPr bwMode="auto">
        <a:xfrm>
          <a:off x="1082040" y="78333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37</xdr:row>
      <xdr:rowOff>0</xdr:rowOff>
    </xdr:from>
    <xdr:to>
      <xdr:col>2</xdr:col>
      <xdr:colOff>601980</xdr:colOff>
      <xdr:row>38</xdr:row>
      <xdr:rowOff>198120</xdr:rowOff>
    </xdr:to>
    <xdr:sp macro="" textlink="">
      <xdr:nvSpPr>
        <xdr:cNvPr id="120258" name="Line 8"/>
        <xdr:cNvSpPr>
          <a:spLocks noChangeShapeType="1"/>
        </xdr:cNvSpPr>
      </xdr:nvSpPr>
      <xdr:spPr bwMode="auto">
        <a:xfrm>
          <a:off x="1082040" y="78333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20259"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20260" name="Line 1"/>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20261"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44</xdr:row>
      <xdr:rowOff>0</xdr:rowOff>
    </xdr:from>
    <xdr:to>
      <xdr:col>2</xdr:col>
      <xdr:colOff>601980</xdr:colOff>
      <xdr:row>45</xdr:row>
      <xdr:rowOff>198120</xdr:rowOff>
    </xdr:to>
    <xdr:sp macro="" textlink="">
      <xdr:nvSpPr>
        <xdr:cNvPr id="120262" name="Line 8"/>
        <xdr:cNvSpPr>
          <a:spLocks noChangeShapeType="1"/>
        </xdr:cNvSpPr>
      </xdr:nvSpPr>
      <xdr:spPr bwMode="auto">
        <a:xfrm>
          <a:off x="1082040" y="93268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20263"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20264" name="Line 1"/>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20265"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51</xdr:row>
      <xdr:rowOff>0</xdr:rowOff>
    </xdr:from>
    <xdr:to>
      <xdr:col>2</xdr:col>
      <xdr:colOff>601980</xdr:colOff>
      <xdr:row>52</xdr:row>
      <xdr:rowOff>198120</xdr:rowOff>
    </xdr:to>
    <xdr:sp macro="" textlink="">
      <xdr:nvSpPr>
        <xdr:cNvPr id="120266" name="Line 8"/>
        <xdr:cNvSpPr>
          <a:spLocks noChangeShapeType="1"/>
        </xdr:cNvSpPr>
      </xdr:nvSpPr>
      <xdr:spPr bwMode="auto">
        <a:xfrm>
          <a:off x="1082040" y="108204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20267"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20268" name="Line 1"/>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20269"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58</xdr:row>
      <xdr:rowOff>0</xdr:rowOff>
    </xdr:from>
    <xdr:to>
      <xdr:col>2</xdr:col>
      <xdr:colOff>601980</xdr:colOff>
      <xdr:row>59</xdr:row>
      <xdr:rowOff>198120</xdr:rowOff>
    </xdr:to>
    <xdr:sp macro="" textlink="">
      <xdr:nvSpPr>
        <xdr:cNvPr id="120270" name="Line 8"/>
        <xdr:cNvSpPr>
          <a:spLocks noChangeShapeType="1"/>
        </xdr:cNvSpPr>
      </xdr:nvSpPr>
      <xdr:spPr bwMode="auto">
        <a:xfrm>
          <a:off x="1082040" y="1231392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271"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272" name="Line 1"/>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273"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65</xdr:row>
      <xdr:rowOff>0</xdr:rowOff>
    </xdr:from>
    <xdr:to>
      <xdr:col>2</xdr:col>
      <xdr:colOff>601980</xdr:colOff>
      <xdr:row>66</xdr:row>
      <xdr:rowOff>198120</xdr:rowOff>
    </xdr:to>
    <xdr:sp macro="" textlink="">
      <xdr:nvSpPr>
        <xdr:cNvPr id="120274" name="Line 8"/>
        <xdr:cNvSpPr>
          <a:spLocks noChangeShapeType="1"/>
        </xdr:cNvSpPr>
      </xdr:nvSpPr>
      <xdr:spPr bwMode="auto">
        <a:xfrm>
          <a:off x="1082040" y="1380744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275"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276" name="Line 1"/>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277"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72</xdr:row>
      <xdr:rowOff>0</xdr:rowOff>
    </xdr:from>
    <xdr:to>
      <xdr:col>2</xdr:col>
      <xdr:colOff>601980</xdr:colOff>
      <xdr:row>73</xdr:row>
      <xdr:rowOff>198120</xdr:rowOff>
    </xdr:to>
    <xdr:sp macro="" textlink="">
      <xdr:nvSpPr>
        <xdr:cNvPr id="120278" name="Line 8"/>
        <xdr:cNvSpPr>
          <a:spLocks noChangeShapeType="1"/>
        </xdr:cNvSpPr>
      </xdr:nvSpPr>
      <xdr:spPr bwMode="auto">
        <a:xfrm>
          <a:off x="1082040" y="1530096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79"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80" name="Line 1"/>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81"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79</xdr:row>
      <xdr:rowOff>0</xdr:rowOff>
    </xdr:from>
    <xdr:to>
      <xdr:col>2</xdr:col>
      <xdr:colOff>601980</xdr:colOff>
      <xdr:row>80</xdr:row>
      <xdr:rowOff>198120</xdr:rowOff>
    </xdr:to>
    <xdr:sp macro="" textlink="">
      <xdr:nvSpPr>
        <xdr:cNvPr id="120282" name="Line 8"/>
        <xdr:cNvSpPr>
          <a:spLocks noChangeShapeType="1"/>
        </xdr:cNvSpPr>
      </xdr:nvSpPr>
      <xdr:spPr bwMode="auto">
        <a:xfrm>
          <a:off x="1082040" y="167944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86</xdr:row>
      <xdr:rowOff>0</xdr:rowOff>
    </xdr:from>
    <xdr:to>
      <xdr:col>2</xdr:col>
      <xdr:colOff>601980</xdr:colOff>
      <xdr:row>87</xdr:row>
      <xdr:rowOff>198120</xdr:rowOff>
    </xdr:to>
    <xdr:sp macro="" textlink="">
      <xdr:nvSpPr>
        <xdr:cNvPr id="120283" name="Line 1"/>
        <xdr:cNvSpPr>
          <a:spLocks noChangeShapeType="1"/>
        </xdr:cNvSpPr>
      </xdr:nvSpPr>
      <xdr:spPr bwMode="auto">
        <a:xfrm>
          <a:off x="1082040" y="182422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86</xdr:row>
      <xdr:rowOff>0</xdr:rowOff>
    </xdr:from>
    <xdr:to>
      <xdr:col>2</xdr:col>
      <xdr:colOff>601980</xdr:colOff>
      <xdr:row>87</xdr:row>
      <xdr:rowOff>198120</xdr:rowOff>
    </xdr:to>
    <xdr:sp macro="" textlink="">
      <xdr:nvSpPr>
        <xdr:cNvPr id="120284" name="Line 1"/>
        <xdr:cNvSpPr>
          <a:spLocks noChangeShapeType="1"/>
        </xdr:cNvSpPr>
      </xdr:nvSpPr>
      <xdr:spPr bwMode="auto">
        <a:xfrm>
          <a:off x="1082040" y="182422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86</xdr:row>
      <xdr:rowOff>0</xdr:rowOff>
    </xdr:from>
    <xdr:to>
      <xdr:col>2</xdr:col>
      <xdr:colOff>601980</xdr:colOff>
      <xdr:row>87</xdr:row>
      <xdr:rowOff>198120</xdr:rowOff>
    </xdr:to>
    <xdr:sp macro="" textlink="">
      <xdr:nvSpPr>
        <xdr:cNvPr id="120285" name="Line 8"/>
        <xdr:cNvSpPr>
          <a:spLocks noChangeShapeType="1"/>
        </xdr:cNvSpPr>
      </xdr:nvSpPr>
      <xdr:spPr bwMode="auto">
        <a:xfrm>
          <a:off x="1082040" y="182422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86</xdr:row>
      <xdr:rowOff>0</xdr:rowOff>
    </xdr:from>
    <xdr:to>
      <xdr:col>2</xdr:col>
      <xdr:colOff>601980</xdr:colOff>
      <xdr:row>87</xdr:row>
      <xdr:rowOff>198120</xdr:rowOff>
    </xdr:to>
    <xdr:sp macro="" textlink="">
      <xdr:nvSpPr>
        <xdr:cNvPr id="120286" name="Line 8"/>
        <xdr:cNvSpPr>
          <a:spLocks noChangeShapeType="1"/>
        </xdr:cNvSpPr>
      </xdr:nvSpPr>
      <xdr:spPr bwMode="auto">
        <a:xfrm>
          <a:off x="1082040" y="1824228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93</xdr:row>
      <xdr:rowOff>0</xdr:rowOff>
    </xdr:from>
    <xdr:to>
      <xdr:col>2</xdr:col>
      <xdr:colOff>601980</xdr:colOff>
      <xdr:row>94</xdr:row>
      <xdr:rowOff>198120</xdr:rowOff>
    </xdr:to>
    <xdr:sp macro="" textlink="">
      <xdr:nvSpPr>
        <xdr:cNvPr id="120287" name="Line 1"/>
        <xdr:cNvSpPr>
          <a:spLocks noChangeShapeType="1"/>
        </xdr:cNvSpPr>
      </xdr:nvSpPr>
      <xdr:spPr bwMode="auto">
        <a:xfrm>
          <a:off x="1082040" y="19659600"/>
          <a:ext cx="594360" cy="4343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93</xdr:row>
      <xdr:rowOff>0</xdr:rowOff>
    </xdr:from>
    <xdr:to>
      <xdr:col>2</xdr:col>
      <xdr:colOff>601980</xdr:colOff>
      <xdr:row>94</xdr:row>
      <xdr:rowOff>198120</xdr:rowOff>
    </xdr:to>
    <xdr:sp macro="" textlink="">
      <xdr:nvSpPr>
        <xdr:cNvPr id="120288" name="Line 1"/>
        <xdr:cNvSpPr>
          <a:spLocks noChangeShapeType="1"/>
        </xdr:cNvSpPr>
      </xdr:nvSpPr>
      <xdr:spPr bwMode="auto">
        <a:xfrm>
          <a:off x="1082040" y="19659600"/>
          <a:ext cx="594360" cy="4343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93</xdr:row>
      <xdr:rowOff>0</xdr:rowOff>
    </xdr:from>
    <xdr:to>
      <xdr:col>2</xdr:col>
      <xdr:colOff>601980</xdr:colOff>
      <xdr:row>94</xdr:row>
      <xdr:rowOff>198120</xdr:rowOff>
    </xdr:to>
    <xdr:sp macro="" textlink="">
      <xdr:nvSpPr>
        <xdr:cNvPr id="120289" name="Line 8"/>
        <xdr:cNvSpPr>
          <a:spLocks noChangeShapeType="1"/>
        </xdr:cNvSpPr>
      </xdr:nvSpPr>
      <xdr:spPr bwMode="auto">
        <a:xfrm>
          <a:off x="1082040" y="19659600"/>
          <a:ext cx="594360" cy="4343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93</xdr:row>
      <xdr:rowOff>0</xdr:rowOff>
    </xdr:from>
    <xdr:to>
      <xdr:col>2</xdr:col>
      <xdr:colOff>601980</xdr:colOff>
      <xdr:row>94</xdr:row>
      <xdr:rowOff>198120</xdr:rowOff>
    </xdr:to>
    <xdr:sp macro="" textlink="">
      <xdr:nvSpPr>
        <xdr:cNvPr id="120290" name="Line 8"/>
        <xdr:cNvSpPr>
          <a:spLocks noChangeShapeType="1"/>
        </xdr:cNvSpPr>
      </xdr:nvSpPr>
      <xdr:spPr bwMode="auto">
        <a:xfrm>
          <a:off x="1082040" y="19659600"/>
          <a:ext cx="594360" cy="4343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100</xdr:row>
      <xdr:rowOff>0</xdr:rowOff>
    </xdr:from>
    <xdr:to>
      <xdr:col>2</xdr:col>
      <xdr:colOff>601980</xdr:colOff>
      <xdr:row>101</xdr:row>
      <xdr:rowOff>198120</xdr:rowOff>
    </xdr:to>
    <xdr:sp macro="" textlink="">
      <xdr:nvSpPr>
        <xdr:cNvPr id="120291" name="Line 1"/>
        <xdr:cNvSpPr>
          <a:spLocks noChangeShapeType="1"/>
        </xdr:cNvSpPr>
      </xdr:nvSpPr>
      <xdr:spPr bwMode="auto">
        <a:xfrm>
          <a:off x="1082040" y="212217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100</xdr:row>
      <xdr:rowOff>0</xdr:rowOff>
    </xdr:from>
    <xdr:to>
      <xdr:col>2</xdr:col>
      <xdr:colOff>601980</xdr:colOff>
      <xdr:row>101</xdr:row>
      <xdr:rowOff>198120</xdr:rowOff>
    </xdr:to>
    <xdr:sp macro="" textlink="">
      <xdr:nvSpPr>
        <xdr:cNvPr id="120292" name="Line 1"/>
        <xdr:cNvSpPr>
          <a:spLocks noChangeShapeType="1"/>
        </xdr:cNvSpPr>
      </xdr:nvSpPr>
      <xdr:spPr bwMode="auto">
        <a:xfrm>
          <a:off x="1082040" y="212217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100</xdr:row>
      <xdr:rowOff>0</xdr:rowOff>
    </xdr:from>
    <xdr:to>
      <xdr:col>2</xdr:col>
      <xdr:colOff>601980</xdr:colOff>
      <xdr:row>101</xdr:row>
      <xdr:rowOff>198120</xdr:rowOff>
    </xdr:to>
    <xdr:sp macro="" textlink="">
      <xdr:nvSpPr>
        <xdr:cNvPr id="120293" name="Line 8"/>
        <xdr:cNvSpPr>
          <a:spLocks noChangeShapeType="1"/>
        </xdr:cNvSpPr>
      </xdr:nvSpPr>
      <xdr:spPr bwMode="auto">
        <a:xfrm>
          <a:off x="1082040" y="212217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100</xdr:row>
      <xdr:rowOff>0</xdr:rowOff>
    </xdr:from>
    <xdr:to>
      <xdr:col>2</xdr:col>
      <xdr:colOff>601980</xdr:colOff>
      <xdr:row>101</xdr:row>
      <xdr:rowOff>198120</xdr:rowOff>
    </xdr:to>
    <xdr:sp macro="" textlink="">
      <xdr:nvSpPr>
        <xdr:cNvPr id="120294" name="Line 8"/>
        <xdr:cNvSpPr>
          <a:spLocks noChangeShapeType="1"/>
        </xdr:cNvSpPr>
      </xdr:nvSpPr>
      <xdr:spPr bwMode="auto">
        <a:xfrm>
          <a:off x="1082040" y="21221700"/>
          <a:ext cx="594360" cy="411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107</xdr:row>
      <xdr:rowOff>0</xdr:rowOff>
    </xdr:from>
    <xdr:to>
      <xdr:col>2</xdr:col>
      <xdr:colOff>601980</xdr:colOff>
      <xdr:row>108</xdr:row>
      <xdr:rowOff>198120</xdr:rowOff>
    </xdr:to>
    <xdr:sp macro="" textlink="">
      <xdr:nvSpPr>
        <xdr:cNvPr id="120295" name="Line 1"/>
        <xdr:cNvSpPr>
          <a:spLocks noChangeShapeType="1"/>
        </xdr:cNvSpPr>
      </xdr:nvSpPr>
      <xdr:spPr bwMode="auto">
        <a:xfrm>
          <a:off x="1082040" y="22738080"/>
          <a:ext cx="59436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107</xdr:row>
      <xdr:rowOff>0</xdr:rowOff>
    </xdr:from>
    <xdr:to>
      <xdr:col>2</xdr:col>
      <xdr:colOff>601980</xdr:colOff>
      <xdr:row>108</xdr:row>
      <xdr:rowOff>198120</xdr:rowOff>
    </xdr:to>
    <xdr:sp macro="" textlink="">
      <xdr:nvSpPr>
        <xdr:cNvPr id="120296" name="Line 1"/>
        <xdr:cNvSpPr>
          <a:spLocks noChangeShapeType="1"/>
        </xdr:cNvSpPr>
      </xdr:nvSpPr>
      <xdr:spPr bwMode="auto">
        <a:xfrm>
          <a:off x="1082040" y="22738080"/>
          <a:ext cx="59436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107</xdr:row>
      <xdr:rowOff>0</xdr:rowOff>
    </xdr:from>
    <xdr:to>
      <xdr:col>2</xdr:col>
      <xdr:colOff>601980</xdr:colOff>
      <xdr:row>108</xdr:row>
      <xdr:rowOff>198120</xdr:rowOff>
    </xdr:to>
    <xdr:sp macro="" textlink="">
      <xdr:nvSpPr>
        <xdr:cNvPr id="120297" name="Line 8"/>
        <xdr:cNvSpPr>
          <a:spLocks noChangeShapeType="1"/>
        </xdr:cNvSpPr>
      </xdr:nvSpPr>
      <xdr:spPr bwMode="auto">
        <a:xfrm>
          <a:off x="1082040" y="22738080"/>
          <a:ext cx="59436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107</xdr:row>
      <xdr:rowOff>0</xdr:rowOff>
    </xdr:from>
    <xdr:to>
      <xdr:col>2</xdr:col>
      <xdr:colOff>601980</xdr:colOff>
      <xdr:row>108</xdr:row>
      <xdr:rowOff>198120</xdr:rowOff>
    </xdr:to>
    <xdr:sp macro="" textlink="">
      <xdr:nvSpPr>
        <xdr:cNvPr id="120298" name="Line 8"/>
        <xdr:cNvSpPr>
          <a:spLocks noChangeShapeType="1"/>
        </xdr:cNvSpPr>
      </xdr:nvSpPr>
      <xdr:spPr bwMode="auto">
        <a:xfrm>
          <a:off x="1082040" y="22738080"/>
          <a:ext cx="594360" cy="4038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121</xdr:row>
      <xdr:rowOff>0</xdr:rowOff>
    </xdr:from>
    <xdr:to>
      <xdr:col>2</xdr:col>
      <xdr:colOff>601980</xdr:colOff>
      <xdr:row>122</xdr:row>
      <xdr:rowOff>198120</xdr:rowOff>
    </xdr:to>
    <xdr:sp macro="" textlink="">
      <xdr:nvSpPr>
        <xdr:cNvPr id="120299" name="Line 1"/>
        <xdr:cNvSpPr>
          <a:spLocks noChangeShapeType="1"/>
        </xdr:cNvSpPr>
      </xdr:nvSpPr>
      <xdr:spPr bwMode="auto">
        <a:xfrm>
          <a:off x="1082040" y="25778460"/>
          <a:ext cx="594360" cy="4800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121</xdr:row>
      <xdr:rowOff>0</xdr:rowOff>
    </xdr:from>
    <xdr:to>
      <xdr:col>2</xdr:col>
      <xdr:colOff>601980</xdr:colOff>
      <xdr:row>122</xdr:row>
      <xdr:rowOff>198120</xdr:rowOff>
    </xdr:to>
    <xdr:sp macro="" textlink="">
      <xdr:nvSpPr>
        <xdr:cNvPr id="120300" name="Line 1"/>
        <xdr:cNvSpPr>
          <a:spLocks noChangeShapeType="1"/>
        </xdr:cNvSpPr>
      </xdr:nvSpPr>
      <xdr:spPr bwMode="auto">
        <a:xfrm>
          <a:off x="1082040" y="25778460"/>
          <a:ext cx="594360" cy="4800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121</xdr:row>
      <xdr:rowOff>0</xdr:rowOff>
    </xdr:from>
    <xdr:to>
      <xdr:col>2</xdr:col>
      <xdr:colOff>601980</xdr:colOff>
      <xdr:row>122</xdr:row>
      <xdr:rowOff>198120</xdr:rowOff>
    </xdr:to>
    <xdr:sp macro="" textlink="">
      <xdr:nvSpPr>
        <xdr:cNvPr id="120301" name="Line 8"/>
        <xdr:cNvSpPr>
          <a:spLocks noChangeShapeType="1"/>
        </xdr:cNvSpPr>
      </xdr:nvSpPr>
      <xdr:spPr bwMode="auto">
        <a:xfrm>
          <a:off x="1082040" y="25778460"/>
          <a:ext cx="594360" cy="4800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121</xdr:row>
      <xdr:rowOff>0</xdr:rowOff>
    </xdr:from>
    <xdr:to>
      <xdr:col>2</xdr:col>
      <xdr:colOff>601980</xdr:colOff>
      <xdr:row>122</xdr:row>
      <xdr:rowOff>198120</xdr:rowOff>
    </xdr:to>
    <xdr:sp macro="" textlink="">
      <xdr:nvSpPr>
        <xdr:cNvPr id="120302" name="Line 8"/>
        <xdr:cNvSpPr>
          <a:spLocks noChangeShapeType="1"/>
        </xdr:cNvSpPr>
      </xdr:nvSpPr>
      <xdr:spPr bwMode="auto">
        <a:xfrm>
          <a:off x="1082040" y="25778460"/>
          <a:ext cx="594360" cy="4800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114</xdr:row>
      <xdr:rowOff>0</xdr:rowOff>
    </xdr:from>
    <xdr:to>
      <xdr:col>2</xdr:col>
      <xdr:colOff>601980</xdr:colOff>
      <xdr:row>115</xdr:row>
      <xdr:rowOff>198120</xdr:rowOff>
    </xdr:to>
    <xdr:sp macro="" textlink="">
      <xdr:nvSpPr>
        <xdr:cNvPr id="120303" name="Line 1"/>
        <xdr:cNvSpPr>
          <a:spLocks noChangeShapeType="1"/>
        </xdr:cNvSpPr>
      </xdr:nvSpPr>
      <xdr:spPr bwMode="auto">
        <a:xfrm>
          <a:off x="1082040" y="24208740"/>
          <a:ext cx="594360" cy="525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114</xdr:row>
      <xdr:rowOff>0</xdr:rowOff>
    </xdr:from>
    <xdr:to>
      <xdr:col>2</xdr:col>
      <xdr:colOff>601980</xdr:colOff>
      <xdr:row>115</xdr:row>
      <xdr:rowOff>198120</xdr:rowOff>
    </xdr:to>
    <xdr:sp macro="" textlink="">
      <xdr:nvSpPr>
        <xdr:cNvPr id="120304" name="Line 1"/>
        <xdr:cNvSpPr>
          <a:spLocks noChangeShapeType="1"/>
        </xdr:cNvSpPr>
      </xdr:nvSpPr>
      <xdr:spPr bwMode="auto">
        <a:xfrm>
          <a:off x="1082040" y="24208740"/>
          <a:ext cx="594360" cy="525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114</xdr:row>
      <xdr:rowOff>0</xdr:rowOff>
    </xdr:from>
    <xdr:to>
      <xdr:col>2</xdr:col>
      <xdr:colOff>601980</xdr:colOff>
      <xdr:row>115</xdr:row>
      <xdr:rowOff>198120</xdr:rowOff>
    </xdr:to>
    <xdr:sp macro="" textlink="">
      <xdr:nvSpPr>
        <xdr:cNvPr id="120305" name="Line 8"/>
        <xdr:cNvSpPr>
          <a:spLocks noChangeShapeType="1"/>
        </xdr:cNvSpPr>
      </xdr:nvSpPr>
      <xdr:spPr bwMode="auto">
        <a:xfrm>
          <a:off x="1082040" y="24208740"/>
          <a:ext cx="594360" cy="525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114</xdr:row>
      <xdr:rowOff>0</xdr:rowOff>
    </xdr:from>
    <xdr:to>
      <xdr:col>2</xdr:col>
      <xdr:colOff>601980</xdr:colOff>
      <xdr:row>115</xdr:row>
      <xdr:rowOff>198120</xdr:rowOff>
    </xdr:to>
    <xdr:sp macro="" textlink="">
      <xdr:nvSpPr>
        <xdr:cNvPr id="120306" name="Line 8"/>
        <xdr:cNvSpPr>
          <a:spLocks noChangeShapeType="1"/>
        </xdr:cNvSpPr>
      </xdr:nvSpPr>
      <xdr:spPr bwMode="auto">
        <a:xfrm>
          <a:off x="1082040" y="24208740"/>
          <a:ext cx="594360" cy="525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128</xdr:row>
      <xdr:rowOff>0</xdr:rowOff>
    </xdr:from>
    <xdr:to>
      <xdr:col>2</xdr:col>
      <xdr:colOff>601980</xdr:colOff>
      <xdr:row>129</xdr:row>
      <xdr:rowOff>388620</xdr:rowOff>
    </xdr:to>
    <xdr:sp macro="" textlink="">
      <xdr:nvSpPr>
        <xdr:cNvPr id="120307" name="Line 1"/>
        <xdr:cNvSpPr>
          <a:spLocks noChangeShapeType="1"/>
        </xdr:cNvSpPr>
      </xdr:nvSpPr>
      <xdr:spPr bwMode="auto">
        <a:xfrm>
          <a:off x="1082040" y="2734818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128</xdr:row>
      <xdr:rowOff>0</xdr:rowOff>
    </xdr:from>
    <xdr:to>
      <xdr:col>2</xdr:col>
      <xdr:colOff>601980</xdr:colOff>
      <xdr:row>129</xdr:row>
      <xdr:rowOff>388620</xdr:rowOff>
    </xdr:to>
    <xdr:sp macro="" textlink="">
      <xdr:nvSpPr>
        <xdr:cNvPr id="120308" name="Line 1"/>
        <xdr:cNvSpPr>
          <a:spLocks noChangeShapeType="1"/>
        </xdr:cNvSpPr>
      </xdr:nvSpPr>
      <xdr:spPr bwMode="auto">
        <a:xfrm>
          <a:off x="1082040" y="2734818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128</xdr:row>
      <xdr:rowOff>0</xdr:rowOff>
    </xdr:from>
    <xdr:to>
      <xdr:col>2</xdr:col>
      <xdr:colOff>601980</xdr:colOff>
      <xdr:row>129</xdr:row>
      <xdr:rowOff>388620</xdr:rowOff>
    </xdr:to>
    <xdr:sp macro="" textlink="">
      <xdr:nvSpPr>
        <xdr:cNvPr id="120309" name="Line 8"/>
        <xdr:cNvSpPr>
          <a:spLocks noChangeShapeType="1"/>
        </xdr:cNvSpPr>
      </xdr:nvSpPr>
      <xdr:spPr bwMode="auto">
        <a:xfrm>
          <a:off x="1082040" y="2734818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128</xdr:row>
      <xdr:rowOff>0</xdr:rowOff>
    </xdr:from>
    <xdr:to>
      <xdr:col>2</xdr:col>
      <xdr:colOff>601980</xdr:colOff>
      <xdr:row>129</xdr:row>
      <xdr:rowOff>388620</xdr:rowOff>
    </xdr:to>
    <xdr:sp macro="" textlink="">
      <xdr:nvSpPr>
        <xdr:cNvPr id="120310" name="Line 8"/>
        <xdr:cNvSpPr>
          <a:spLocks noChangeShapeType="1"/>
        </xdr:cNvSpPr>
      </xdr:nvSpPr>
      <xdr:spPr bwMode="auto">
        <a:xfrm>
          <a:off x="1082040" y="2734818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135</xdr:row>
      <xdr:rowOff>0</xdr:rowOff>
    </xdr:from>
    <xdr:to>
      <xdr:col>2</xdr:col>
      <xdr:colOff>601980</xdr:colOff>
      <xdr:row>136</xdr:row>
      <xdr:rowOff>388620</xdr:rowOff>
    </xdr:to>
    <xdr:sp macro="" textlink="">
      <xdr:nvSpPr>
        <xdr:cNvPr id="120311" name="Line 1"/>
        <xdr:cNvSpPr>
          <a:spLocks noChangeShapeType="1"/>
        </xdr:cNvSpPr>
      </xdr:nvSpPr>
      <xdr:spPr bwMode="auto">
        <a:xfrm>
          <a:off x="1082040" y="2953512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135</xdr:row>
      <xdr:rowOff>0</xdr:rowOff>
    </xdr:from>
    <xdr:to>
      <xdr:col>2</xdr:col>
      <xdr:colOff>601980</xdr:colOff>
      <xdr:row>136</xdr:row>
      <xdr:rowOff>388620</xdr:rowOff>
    </xdr:to>
    <xdr:sp macro="" textlink="">
      <xdr:nvSpPr>
        <xdr:cNvPr id="120312" name="Line 1"/>
        <xdr:cNvSpPr>
          <a:spLocks noChangeShapeType="1"/>
        </xdr:cNvSpPr>
      </xdr:nvSpPr>
      <xdr:spPr bwMode="auto">
        <a:xfrm>
          <a:off x="1082040" y="2953512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135</xdr:row>
      <xdr:rowOff>0</xdr:rowOff>
    </xdr:from>
    <xdr:to>
      <xdr:col>2</xdr:col>
      <xdr:colOff>601980</xdr:colOff>
      <xdr:row>136</xdr:row>
      <xdr:rowOff>388620</xdr:rowOff>
    </xdr:to>
    <xdr:sp macro="" textlink="">
      <xdr:nvSpPr>
        <xdr:cNvPr id="120313" name="Line 8"/>
        <xdr:cNvSpPr>
          <a:spLocks noChangeShapeType="1"/>
        </xdr:cNvSpPr>
      </xdr:nvSpPr>
      <xdr:spPr bwMode="auto">
        <a:xfrm>
          <a:off x="1082040" y="2953512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135</xdr:row>
      <xdr:rowOff>0</xdr:rowOff>
    </xdr:from>
    <xdr:to>
      <xdr:col>2</xdr:col>
      <xdr:colOff>601980</xdr:colOff>
      <xdr:row>136</xdr:row>
      <xdr:rowOff>388620</xdr:rowOff>
    </xdr:to>
    <xdr:sp macro="" textlink="">
      <xdr:nvSpPr>
        <xdr:cNvPr id="120314" name="Line 8"/>
        <xdr:cNvSpPr>
          <a:spLocks noChangeShapeType="1"/>
        </xdr:cNvSpPr>
      </xdr:nvSpPr>
      <xdr:spPr bwMode="auto">
        <a:xfrm>
          <a:off x="1082040" y="29535120"/>
          <a:ext cx="59436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142</xdr:row>
      <xdr:rowOff>0</xdr:rowOff>
    </xdr:from>
    <xdr:to>
      <xdr:col>2</xdr:col>
      <xdr:colOff>601980</xdr:colOff>
      <xdr:row>143</xdr:row>
      <xdr:rowOff>198120</xdr:rowOff>
    </xdr:to>
    <xdr:sp macro="" textlink="">
      <xdr:nvSpPr>
        <xdr:cNvPr id="120315" name="Line 1"/>
        <xdr:cNvSpPr>
          <a:spLocks noChangeShapeType="1"/>
        </xdr:cNvSpPr>
      </xdr:nvSpPr>
      <xdr:spPr bwMode="auto">
        <a:xfrm>
          <a:off x="1082040" y="31722060"/>
          <a:ext cx="594360" cy="510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142</xdr:row>
      <xdr:rowOff>0</xdr:rowOff>
    </xdr:from>
    <xdr:to>
      <xdr:col>2</xdr:col>
      <xdr:colOff>601980</xdr:colOff>
      <xdr:row>143</xdr:row>
      <xdr:rowOff>198120</xdr:rowOff>
    </xdr:to>
    <xdr:sp macro="" textlink="">
      <xdr:nvSpPr>
        <xdr:cNvPr id="120316" name="Line 1"/>
        <xdr:cNvSpPr>
          <a:spLocks noChangeShapeType="1"/>
        </xdr:cNvSpPr>
      </xdr:nvSpPr>
      <xdr:spPr bwMode="auto">
        <a:xfrm>
          <a:off x="1082040" y="31722060"/>
          <a:ext cx="594360" cy="510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142</xdr:row>
      <xdr:rowOff>0</xdr:rowOff>
    </xdr:from>
    <xdr:to>
      <xdr:col>2</xdr:col>
      <xdr:colOff>601980</xdr:colOff>
      <xdr:row>143</xdr:row>
      <xdr:rowOff>198120</xdr:rowOff>
    </xdr:to>
    <xdr:sp macro="" textlink="">
      <xdr:nvSpPr>
        <xdr:cNvPr id="120317" name="Line 8"/>
        <xdr:cNvSpPr>
          <a:spLocks noChangeShapeType="1"/>
        </xdr:cNvSpPr>
      </xdr:nvSpPr>
      <xdr:spPr bwMode="auto">
        <a:xfrm>
          <a:off x="1082040" y="31722060"/>
          <a:ext cx="594360" cy="510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142</xdr:row>
      <xdr:rowOff>0</xdr:rowOff>
    </xdr:from>
    <xdr:to>
      <xdr:col>2</xdr:col>
      <xdr:colOff>601980</xdr:colOff>
      <xdr:row>143</xdr:row>
      <xdr:rowOff>198120</xdr:rowOff>
    </xdr:to>
    <xdr:sp macro="" textlink="">
      <xdr:nvSpPr>
        <xdr:cNvPr id="120318" name="Line 8"/>
        <xdr:cNvSpPr>
          <a:spLocks noChangeShapeType="1"/>
        </xdr:cNvSpPr>
      </xdr:nvSpPr>
      <xdr:spPr bwMode="auto">
        <a:xfrm>
          <a:off x="1082040" y="31722060"/>
          <a:ext cx="594360" cy="510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149</xdr:row>
      <xdr:rowOff>7620</xdr:rowOff>
    </xdr:from>
    <xdr:to>
      <xdr:col>3</xdr:col>
      <xdr:colOff>15240</xdr:colOff>
      <xdr:row>151</xdr:row>
      <xdr:rowOff>15240</xdr:rowOff>
    </xdr:to>
    <xdr:sp macro="" textlink="">
      <xdr:nvSpPr>
        <xdr:cNvPr id="120319" name="Line 1"/>
        <xdr:cNvSpPr>
          <a:spLocks noChangeShapeType="1"/>
        </xdr:cNvSpPr>
      </xdr:nvSpPr>
      <xdr:spPr bwMode="auto">
        <a:xfrm>
          <a:off x="1082040" y="33916620"/>
          <a:ext cx="624840" cy="6324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7620</xdr:colOff>
      <xdr:row>156</xdr:row>
      <xdr:rowOff>0</xdr:rowOff>
    </xdr:from>
    <xdr:to>
      <xdr:col>3</xdr:col>
      <xdr:colOff>0</xdr:colOff>
      <xdr:row>158</xdr:row>
      <xdr:rowOff>0</xdr:rowOff>
    </xdr:to>
    <xdr:sp macro="" textlink="">
      <xdr:nvSpPr>
        <xdr:cNvPr id="120320" name="Line 14"/>
        <xdr:cNvSpPr>
          <a:spLocks noChangeShapeType="1"/>
        </xdr:cNvSpPr>
      </xdr:nvSpPr>
      <xdr:spPr bwMode="auto">
        <a:xfrm>
          <a:off x="1082040" y="36095940"/>
          <a:ext cx="609600" cy="6248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3"/>
  <sheetViews>
    <sheetView tabSelected="1" zoomScaleNormal="100" zoomScalePageLayoutView="78" workbookViewId="0">
      <selection activeCell="L9" sqref="L9"/>
    </sheetView>
  </sheetViews>
  <sheetFormatPr defaultColWidth="9" defaultRowHeight="16.2"/>
  <cols>
    <col min="1" max="1" width="5.109375" style="1" customWidth="1"/>
    <col min="2" max="2" width="10.5546875" style="2" customWidth="1"/>
    <col min="3" max="3" width="9" style="2"/>
    <col min="4" max="5" width="6.33203125" style="2" customWidth="1"/>
    <col min="6" max="6" width="6.77734375" style="2" customWidth="1"/>
    <col min="7" max="8" width="5.77734375" style="2" customWidth="1"/>
    <col min="9" max="9" width="42.77734375" style="2" customWidth="1"/>
    <col min="10" max="16384" width="9" style="2"/>
  </cols>
  <sheetData>
    <row r="1" spans="1:9" ht="17.25" customHeight="1" thickTop="1">
      <c r="A1" s="110" t="s">
        <v>0</v>
      </c>
      <c r="B1" s="112" t="s">
        <v>1</v>
      </c>
      <c r="C1" s="114" t="s">
        <v>2</v>
      </c>
      <c r="D1" s="115"/>
      <c r="E1" s="115"/>
      <c r="F1" s="115"/>
      <c r="G1" s="115"/>
      <c r="H1" s="116"/>
      <c r="I1" s="117" t="s">
        <v>4</v>
      </c>
    </row>
    <row r="2" spans="1:9" ht="17.25" customHeight="1" thickBot="1">
      <c r="A2" s="111"/>
      <c r="B2" s="113"/>
      <c r="C2" s="113" t="s">
        <v>3</v>
      </c>
      <c r="D2" s="119"/>
      <c r="E2" s="119"/>
      <c r="F2" s="119"/>
      <c r="G2" s="119"/>
      <c r="H2" s="120"/>
      <c r="I2" s="118"/>
    </row>
    <row r="3" spans="1:9" ht="17.25" customHeight="1">
      <c r="A3" s="121" t="s">
        <v>43</v>
      </c>
      <c r="B3" s="34" t="s">
        <v>37</v>
      </c>
      <c r="C3" s="20" t="s">
        <v>185</v>
      </c>
      <c r="D3" s="80" t="s">
        <v>5</v>
      </c>
      <c r="E3" s="80"/>
      <c r="F3" s="80"/>
      <c r="G3" s="80"/>
      <c r="H3" s="89" t="s">
        <v>9</v>
      </c>
      <c r="I3" s="24" t="s">
        <v>38</v>
      </c>
    </row>
    <row r="4" spans="1:9" ht="17.25" customHeight="1">
      <c r="A4" s="83"/>
      <c r="B4" s="35" t="s">
        <v>18</v>
      </c>
      <c r="C4" s="21" t="s">
        <v>188</v>
      </c>
      <c r="D4" s="81"/>
      <c r="E4" s="81"/>
      <c r="F4" s="81"/>
      <c r="G4" s="81"/>
      <c r="H4" s="90"/>
      <c r="I4" s="14" t="s">
        <v>39</v>
      </c>
    </row>
    <row r="5" spans="1:9" ht="17.25" customHeight="1">
      <c r="A5" s="83"/>
      <c r="B5" s="35" t="s">
        <v>40</v>
      </c>
      <c r="C5" s="22" t="s">
        <v>5</v>
      </c>
      <c r="D5" s="6">
        <v>0</v>
      </c>
      <c r="E5" s="5"/>
      <c r="F5" s="5"/>
      <c r="G5" s="5"/>
      <c r="H5" s="5">
        <f>$B$9</f>
        <v>20</v>
      </c>
      <c r="I5" s="14" t="s">
        <v>41</v>
      </c>
    </row>
    <row r="6" spans="1:9" ht="17.25" customHeight="1">
      <c r="A6" s="83"/>
      <c r="B6" s="35" t="s">
        <v>42</v>
      </c>
      <c r="C6" s="22"/>
      <c r="D6" s="5"/>
      <c r="E6" s="5"/>
      <c r="F6" s="5"/>
      <c r="G6" s="5"/>
      <c r="H6" s="5"/>
      <c r="I6" s="14"/>
    </row>
    <row r="7" spans="1:9" ht="17.25" customHeight="1">
      <c r="A7" s="83"/>
      <c r="B7" s="35" t="s">
        <v>244</v>
      </c>
      <c r="C7" s="22"/>
      <c r="D7" s="5"/>
      <c r="E7" s="5"/>
      <c r="F7" s="5"/>
      <c r="G7" s="5"/>
      <c r="H7" s="5"/>
      <c r="I7" s="14"/>
    </row>
    <row r="8" spans="1:9" ht="17.25" customHeight="1">
      <c r="A8" s="83"/>
      <c r="B8" s="35" t="s">
        <v>243</v>
      </c>
      <c r="C8" s="22"/>
      <c r="D8" s="5"/>
      <c r="E8" s="5"/>
      <c r="F8" s="5"/>
      <c r="G8" s="5"/>
      <c r="H8" s="5"/>
      <c r="I8" s="14"/>
    </row>
    <row r="9" spans="1:9" ht="17.25" customHeight="1" thickBot="1">
      <c r="A9" s="83"/>
      <c r="B9" s="36">
        <v>20</v>
      </c>
      <c r="C9" s="23" t="s">
        <v>9</v>
      </c>
      <c r="D9" s="5">
        <f>-$B$9</f>
        <v>-20</v>
      </c>
      <c r="E9" s="5"/>
      <c r="F9" s="5"/>
      <c r="G9" s="5"/>
      <c r="H9" s="6">
        <v>0</v>
      </c>
      <c r="I9" s="37"/>
    </row>
    <row r="10" spans="1:9" ht="17.25" customHeight="1">
      <c r="A10" s="83"/>
      <c r="B10" s="17" t="s">
        <v>20</v>
      </c>
      <c r="C10" s="20" t="s">
        <v>185</v>
      </c>
      <c r="D10" s="80" t="s">
        <v>5</v>
      </c>
      <c r="E10" s="80" t="s">
        <v>32</v>
      </c>
      <c r="F10" s="80" t="s">
        <v>31</v>
      </c>
      <c r="G10" s="80"/>
      <c r="H10" s="89"/>
      <c r="I10" s="31" t="s">
        <v>34</v>
      </c>
    </row>
    <row r="11" spans="1:9" ht="17.25" customHeight="1">
      <c r="A11" s="83"/>
      <c r="B11" s="18" t="s">
        <v>21</v>
      </c>
      <c r="C11" s="21" t="s">
        <v>187</v>
      </c>
      <c r="D11" s="81"/>
      <c r="E11" s="81"/>
      <c r="F11" s="81"/>
      <c r="G11" s="81"/>
      <c r="H11" s="90"/>
      <c r="I11" s="122" t="s">
        <v>35</v>
      </c>
    </row>
    <row r="12" spans="1:9" ht="17.25" customHeight="1">
      <c r="A12" s="83"/>
      <c r="B12" s="18" t="s">
        <v>245</v>
      </c>
      <c r="C12" s="22" t="s">
        <v>5</v>
      </c>
      <c r="D12" s="6">
        <v>0</v>
      </c>
      <c r="E12" s="6">
        <f>D12+$B$16/2</f>
        <v>10</v>
      </c>
      <c r="F12" s="6">
        <f>E12+$B$16/2</f>
        <v>20</v>
      </c>
      <c r="G12" s="4"/>
      <c r="H12" s="12"/>
      <c r="I12" s="108"/>
    </row>
    <row r="13" spans="1:9" ht="17.25" customHeight="1">
      <c r="A13" s="83"/>
      <c r="B13" s="18" t="s">
        <v>246</v>
      </c>
      <c r="C13" s="22" t="s">
        <v>32</v>
      </c>
      <c r="D13" s="6">
        <f>D12-$B$16/2</f>
        <v>-10</v>
      </c>
      <c r="E13" s="6">
        <f>D12</f>
        <v>0</v>
      </c>
      <c r="F13" s="6">
        <f>E13+$B$16/2</f>
        <v>10</v>
      </c>
      <c r="G13" s="4"/>
      <c r="H13" s="7"/>
      <c r="I13" s="106" t="s">
        <v>36</v>
      </c>
    </row>
    <row r="14" spans="1:9" ht="17.25" customHeight="1">
      <c r="A14" s="83"/>
      <c r="B14" s="18"/>
      <c r="C14" s="22" t="s">
        <v>31</v>
      </c>
      <c r="D14" s="6">
        <f>D13-$B$16/2</f>
        <v>-20</v>
      </c>
      <c r="E14" s="6">
        <f>E13-$B$16/2</f>
        <v>-10</v>
      </c>
      <c r="F14" s="6">
        <f>D12</f>
        <v>0</v>
      </c>
      <c r="G14" s="4"/>
      <c r="H14" s="7"/>
      <c r="I14" s="109"/>
    </row>
    <row r="15" spans="1:9" ht="14.4" customHeight="1">
      <c r="A15" s="83"/>
      <c r="B15" s="18"/>
      <c r="C15" s="22"/>
      <c r="D15" s="4"/>
      <c r="E15" s="4"/>
      <c r="F15" s="4"/>
      <c r="G15" s="6"/>
      <c r="H15" s="7"/>
      <c r="I15" s="29"/>
    </row>
    <row r="16" spans="1:9" ht="14.4" customHeight="1" thickBot="1">
      <c r="A16" s="83"/>
      <c r="B16" s="19">
        <v>20</v>
      </c>
      <c r="C16" s="41"/>
      <c r="D16" s="42"/>
      <c r="E16" s="43"/>
      <c r="F16" s="43"/>
      <c r="G16" s="43"/>
      <c r="H16" s="44"/>
      <c r="I16" s="30"/>
    </row>
    <row r="17" spans="1:10" ht="17.25" customHeight="1">
      <c r="A17" s="83"/>
      <c r="B17" s="17" t="s">
        <v>22</v>
      </c>
      <c r="C17" s="20" t="s">
        <v>186</v>
      </c>
      <c r="D17" s="80" t="s">
        <v>5</v>
      </c>
      <c r="E17" s="80" t="s">
        <v>6</v>
      </c>
      <c r="F17" s="80" t="s">
        <v>7</v>
      </c>
      <c r="G17" s="80" t="s">
        <v>8</v>
      </c>
      <c r="H17" s="89" t="s">
        <v>9</v>
      </c>
      <c r="I17" s="13" t="s">
        <v>120</v>
      </c>
    </row>
    <row r="18" spans="1:10" ht="17.25" customHeight="1">
      <c r="A18" s="83"/>
      <c r="B18" s="18" t="s">
        <v>23</v>
      </c>
      <c r="C18" s="21" t="s">
        <v>187</v>
      </c>
      <c r="D18" s="81"/>
      <c r="E18" s="81"/>
      <c r="F18" s="81"/>
      <c r="G18" s="81"/>
      <c r="H18" s="90"/>
      <c r="I18" s="15" t="s">
        <v>121</v>
      </c>
      <c r="J18" s="2" t="s">
        <v>198</v>
      </c>
    </row>
    <row r="19" spans="1:10" ht="17.25" customHeight="1">
      <c r="A19" s="83"/>
      <c r="B19" s="18" t="s">
        <v>24</v>
      </c>
      <c r="C19" s="22" t="s">
        <v>5</v>
      </c>
      <c r="D19" s="4">
        <v>0</v>
      </c>
      <c r="E19" s="4">
        <f t="shared" ref="E19:G21" si="0">D19+$B$23/4</f>
        <v>3.75</v>
      </c>
      <c r="F19" s="4">
        <f t="shared" si="0"/>
        <v>7.5</v>
      </c>
      <c r="G19" s="4">
        <f t="shared" si="0"/>
        <v>11.25</v>
      </c>
      <c r="H19" s="7">
        <f>G19+$B$23/4</f>
        <v>15</v>
      </c>
      <c r="I19" s="15" t="s">
        <v>122</v>
      </c>
    </row>
    <row r="20" spans="1:10" ht="17.25" customHeight="1">
      <c r="A20" s="83"/>
      <c r="B20" s="18"/>
      <c r="C20" s="22" t="s">
        <v>6</v>
      </c>
      <c r="D20" s="4">
        <f t="shared" ref="D20:F22" si="1">D19-$B$23/4</f>
        <v>-3.75</v>
      </c>
      <c r="E20" s="4">
        <f>D19</f>
        <v>0</v>
      </c>
      <c r="F20" s="4">
        <f t="shared" si="0"/>
        <v>3.75</v>
      </c>
      <c r="G20" s="4">
        <f t="shared" si="0"/>
        <v>7.5</v>
      </c>
      <c r="H20" s="7">
        <f>G20+$B$23/4</f>
        <v>11.25</v>
      </c>
      <c r="I20" s="15" t="s">
        <v>123</v>
      </c>
    </row>
    <row r="21" spans="1:10" ht="17.25" customHeight="1">
      <c r="A21" s="83"/>
      <c r="B21" s="18"/>
      <c r="C21" s="22" t="s">
        <v>7</v>
      </c>
      <c r="D21" s="4">
        <f t="shared" si="1"/>
        <v>-7.5</v>
      </c>
      <c r="E21" s="4">
        <f t="shared" si="1"/>
        <v>-3.75</v>
      </c>
      <c r="F21" s="4">
        <f>D19</f>
        <v>0</v>
      </c>
      <c r="G21" s="4">
        <f t="shared" si="0"/>
        <v>3.75</v>
      </c>
      <c r="H21" s="7">
        <f>G21+$B$23/4</f>
        <v>7.5</v>
      </c>
      <c r="I21" s="15" t="s">
        <v>124</v>
      </c>
    </row>
    <row r="22" spans="1:10" ht="17.25" customHeight="1">
      <c r="A22" s="83"/>
      <c r="B22" s="18"/>
      <c r="C22" s="22" t="s">
        <v>8</v>
      </c>
      <c r="D22" s="4">
        <f t="shared" si="1"/>
        <v>-11.25</v>
      </c>
      <c r="E22" s="4">
        <f t="shared" si="1"/>
        <v>-7.5</v>
      </c>
      <c r="F22" s="4">
        <f t="shared" si="1"/>
        <v>-3.75</v>
      </c>
      <c r="G22" s="4">
        <f>D19</f>
        <v>0</v>
      </c>
      <c r="H22" s="7">
        <f>G22+$B$23/4</f>
        <v>3.75</v>
      </c>
      <c r="I22" s="15"/>
    </row>
    <row r="23" spans="1:10" ht="17.25" customHeight="1" thickBot="1">
      <c r="A23" s="83"/>
      <c r="B23" s="19">
        <v>15</v>
      </c>
      <c r="C23" s="41" t="s">
        <v>9</v>
      </c>
      <c r="D23" s="43">
        <f>D22-$B$23/4</f>
        <v>-15</v>
      </c>
      <c r="E23" s="43">
        <f>E22-$B$23/4</f>
        <v>-11.25</v>
      </c>
      <c r="F23" s="43">
        <f>F22-$B$23/4</f>
        <v>-7.5</v>
      </c>
      <c r="G23" s="43">
        <f>G22-$B$23/4</f>
        <v>-3.75</v>
      </c>
      <c r="H23" s="60">
        <f>D19</f>
        <v>0</v>
      </c>
      <c r="I23" s="59"/>
    </row>
    <row r="24" spans="1:10" ht="17.25" customHeight="1">
      <c r="A24" s="83"/>
      <c r="B24" s="17" t="s">
        <v>25</v>
      </c>
      <c r="C24" s="20" t="s">
        <v>185</v>
      </c>
      <c r="D24" s="80" t="s">
        <v>30</v>
      </c>
      <c r="E24" s="80" t="s">
        <v>6</v>
      </c>
      <c r="F24" s="80" t="s">
        <v>7</v>
      </c>
      <c r="G24" s="80" t="s">
        <v>8</v>
      </c>
      <c r="H24" s="89" t="s">
        <v>9</v>
      </c>
      <c r="I24" s="13" t="s">
        <v>125</v>
      </c>
    </row>
    <row r="25" spans="1:10" ht="17.25" customHeight="1">
      <c r="A25" s="83"/>
      <c r="B25" s="18" t="s">
        <v>26</v>
      </c>
      <c r="C25" s="21" t="s">
        <v>187</v>
      </c>
      <c r="D25" s="81"/>
      <c r="E25" s="81"/>
      <c r="F25" s="81"/>
      <c r="G25" s="81"/>
      <c r="H25" s="90"/>
      <c r="I25" s="15" t="s">
        <v>126</v>
      </c>
    </row>
    <row r="26" spans="1:10" ht="17.25" customHeight="1">
      <c r="A26" s="83"/>
      <c r="B26" s="18" t="s">
        <v>24</v>
      </c>
      <c r="C26" s="22" t="s">
        <v>5</v>
      </c>
      <c r="D26" s="5">
        <v>0</v>
      </c>
      <c r="E26" s="5">
        <f t="shared" ref="E26:G28" si="2">D26+$B$30/4</f>
        <v>12.5</v>
      </c>
      <c r="F26" s="5">
        <f t="shared" si="2"/>
        <v>25</v>
      </c>
      <c r="G26" s="5">
        <f t="shared" si="2"/>
        <v>37.5</v>
      </c>
      <c r="H26" s="10">
        <f>G26+$B$30/4</f>
        <v>50</v>
      </c>
      <c r="I26" s="15" t="s">
        <v>127</v>
      </c>
    </row>
    <row r="27" spans="1:10" ht="17.25" customHeight="1">
      <c r="A27" s="83"/>
      <c r="B27" s="18"/>
      <c r="C27" s="22" t="s">
        <v>6</v>
      </c>
      <c r="D27" s="5">
        <f>D26-$B$30/4</f>
        <v>-12.5</v>
      </c>
      <c r="E27" s="5">
        <f>D26</f>
        <v>0</v>
      </c>
      <c r="F27" s="5">
        <f t="shared" si="2"/>
        <v>12.5</v>
      </c>
      <c r="G27" s="5">
        <f t="shared" si="2"/>
        <v>25</v>
      </c>
      <c r="H27" s="10">
        <f>G27+$B$30/4</f>
        <v>37.5</v>
      </c>
      <c r="I27" s="15" t="s">
        <v>128</v>
      </c>
    </row>
    <row r="28" spans="1:10" ht="17.25" customHeight="1">
      <c r="A28" s="83"/>
      <c r="B28" s="18"/>
      <c r="C28" s="22" t="s">
        <v>7</v>
      </c>
      <c r="D28" s="5">
        <f>D27-$B$30/4</f>
        <v>-25</v>
      </c>
      <c r="E28" s="5">
        <f>E27-$B$30/4</f>
        <v>-12.5</v>
      </c>
      <c r="F28" s="5">
        <f>D26</f>
        <v>0</v>
      </c>
      <c r="G28" s="5">
        <f t="shared" si="2"/>
        <v>12.5</v>
      </c>
      <c r="H28" s="10">
        <f>G28+$B$30/4</f>
        <v>25</v>
      </c>
      <c r="I28" s="15" t="s">
        <v>129</v>
      </c>
    </row>
    <row r="29" spans="1:10" ht="17.25" customHeight="1">
      <c r="A29" s="83"/>
      <c r="B29" s="18"/>
      <c r="C29" s="22" t="s">
        <v>8</v>
      </c>
      <c r="D29" s="5">
        <f>D28-$B$30/4</f>
        <v>-37.5</v>
      </c>
      <c r="E29" s="5">
        <f>E28-$B$30/4</f>
        <v>-25</v>
      </c>
      <c r="F29" s="5">
        <f>F28-$B$30/4</f>
        <v>-12.5</v>
      </c>
      <c r="G29" s="5">
        <f>D26</f>
        <v>0</v>
      </c>
      <c r="H29" s="10">
        <f>G29+$B$30/4</f>
        <v>12.5</v>
      </c>
      <c r="I29" s="15"/>
    </row>
    <row r="30" spans="1:10" ht="17.25" customHeight="1" thickBot="1">
      <c r="A30" s="83"/>
      <c r="B30" s="19">
        <v>50</v>
      </c>
      <c r="C30" s="23" t="s">
        <v>9</v>
      </c>
      <c r="D30" s="11">
        <f>D29-$B$30/4</f>
        <v>-50</v>
      </c>
      <c r="E30" s="11">
        <f>E29-$B$30/4</f>
        <v>-37.5</v>
      </c>
      <c r="F30" s="11">
        <f>F29-$B$30/4</f>
        <v>-25</v>
      </c>
      <c r="G30" s="11">
        <f>G29-$B$30/4</f>
        <v>-12.5</v>
      </c>
      <c r="H30" s="57">
        <f>D26</f>
        <v>0</v>
      </c>
      <c r="I30" s="59"/>
    </row>
    <row r="31" spans="1:10" ht="17.25" customHeight="1">
      <c r="A31" s="83"/>
      <c r="B31" s="17" t="s">
        <v>27</v>
      </c>
      <c r="C31" s="20" t="s">
        <v>185</v>
      </c>
      <c r="D31" s="80" t="s">
        <v>5</v>
      </c>
      <c r="E31" s="80"/>
      <c r="F31" s="80"/>
      <c r="G31" s="80"/>
      <c r="H31" s="89" t="s">
        <v>9</v>
      </c>
      <c r="I31" s="13" t="s">
        <v>46</v>
      </c>
    </row>
    <row r="32" spans="1:10" ht="17.25" customHeight="1">
      <c r="A32" s="83"/>
      <c r="B32" s="18" t="s">
        <v>28</v>
      </c>
      <c r="C32" s="21" t="s">
        <v>187</v>
      </c>
      <c r="D32" s="81"/>
      <c r="E32" s="81"/>
      <c r="F32" s="81"/>
      <c r="G32" s="81"/>
      <c r="H32" s="90"/>
      <c r="I32" s="15" t="s">
        <v>12</v>
      </c>
    </row>
    <row r="33" spans="1:9" ht="17.25" customHeight="1">
      <c r="A33" s="83"/>
      <c r="B33" s="18" t="s">
        <v>29</v>
      </c>
      <c r="C33" s="22" t="s">
        <v>5</v>
      </c>
      <c r="D33" s="6">
        <v>0</v>
      </c>
      <c r="E33" s="6"/>
      <c r="F33" s="6"/>
      <c r="G33" s="6"/>
      <c r="H33" s="12">
        <f>B37</f>
        <v>50</v>
      </c>
      <c r="I33" s="15"/>
    </row>
    <row r="34" spans="1:9" ht="17.25" customHeight="1">
      <c r="A34" s="83"/>
      <c r="B34" s="18" t="s">
        <v>44</v>
      </c>
      <c r="C34" s="22"/>
      <c r="D34" s="6"/>
      <c r="E34" s="6"/>
      <c r="F34" s="6"/>
      <c r="G34" s="6"/>
      <c r="H34" s="12"/>
      <c r="I34" s="15"/>
    </row>
    <row r="35" spans="1:9" ht="17.25" customHeight="1">
      <c r="A35" s="83"/>
      <c r="B35" s="18" t="s">
        <v>22</v>
      </c>
      <c r="C35" s="22"/>
      <c r="D35" s="6"/>
      <c r="E35" s="6"/>
      <c r="F35" s="6"/>
      <c r="G35" s="6"/>
      <c r="H35" s="12"/>
      <c r="I35" s="15"/>
    </row>
    <row r="36" spans="1:9" ht="17.25" customHeight="1">
      <c r="A36" s="83"/>
      <c r="B36" s="18" t="s">
        <v>45</v>
      </c>
      <c r="C36" s="22"/>
      <c r="D36" s="6"/>
      <c r="E36" s="6"/>
      <c r="F36" s="6"/>
      <c r="G36" s="6"/>
      <c r="H36" s="12"/>
      <c r="I36" s="25"/>
    </row>
    <row r="37" spans="1:9" ht="17.25" customHeight="1" thickBot="1">
      <c r="A37" s="83"/>
      <c r="B37" s="19">
        <v>50</v>
      </c>
      <c r="C37" s="41" t="s">
        <v>9</v>
      </c>
      <c r="D37" s="42">
        <f>-B37</f>
        <v>-50</v>
      </c>
      <c r="E37" s="42"/>
      <c r="F37" s="42"/>
      <c r="G37" s="42"/>
      <c r="H37" s="44">
        <f>D33</f>
        <v>0</v>
      </c>
      <c r="I37" s="16"/>
    </row>
    <row r="38" spans="1:9" ht="17.25" customHeight="1">
      <c r="A38" s="83"/>
      <c r="B38" s="67" t="s">
        <v>247</v>
      </c>
      <c r="C38" s="20" t="s">
        <v>185</v>
      </c>
      <c r="D38" s="80" t="s">
        <v>5</v>
      </c>
      <c r="E38" s="80" t="s">
        <v>6</v>
      </c>
      <c r="F38" s="80" t="s">
        <v>7</v>
      </c>
      <c r="G38" s="80" t="s">
        <v>8</v>
      </c>
      <c r="H38" s="89" t="s">
        <v>9</v>
      </c>
      <c r="I38" s="38" t="s">
        <v>233</v>
      </c>
    </row>
    <row r="39" spans="1:9" ht="17.25" customHeight="1">
      <c r="A39" s="83"/>
      <c r="B39" s="68" t="s">
        <v>248</v>
      </c>
      <c r="C39" s="21" t="s">
        <v>187</v>
      </c>
      <c r="D39" s="81"/>
      <c r="E39" s="81"/>
      <c r="F39" s="81"/>
      <c r="G39" s="81"/>
      <c r="H39" s="90"/>
      <c r="I39" s="39" t="s">
        <v>33</v>
      </c>
    </row>
    <row r="40" spans="1:9" ht="17.25" customHeight="1">
      <c r="A40" s="83"/>
      <c r="B40" s="68" t="s">
        <v>250</v>
      </c>
      <c r="C40" s="22" t="s">
        <v>5</v>
      </c>
      <c r="D40" s="6">
        <v>0</v>
      </c>
      <c r="E40" s="5">
        <f t="shared" ref="E40:G42" si="3">D40+$B$44/4</f>
        <v>12.5</v>
      </c>
      <c r="F40" s="5">
        <f t="shared" si="3"/>
        <v>25</v>
      </c>
      <c r="G40" s="5">
        <f t="shared" si="3"/>
        <v>37.5</v>
      </c>
      <c r="H40" s="10">
        <f>G40+$B$44/4</f>
        <v>50</v>
      </c>
      <c r="I40" s="39" t="s">
        <v>10</v>
      </c>
    </row>
    <row r="41" spans="1:9" ht="17.25" customHeight="1">
      <c r="A41" s="83"/>
      <c r="B41" s="68" t="s">
        <v>249</v>
      </c>
      <c r="C41" s="22" t="s">
        <v>6</v>
      </c>
      <c r="D41" s="5">
        <f t="shared" ref="D41:F43" si="4">D40-$B$44/4</f>
        <v>-12.5</v>
      </c>
      <c r="E41" s="6">
        <f>D40</f>
        <v>0</v>
      </c>
      <c r="F41" s="5">
        <f t="shared" si="3"/>
        <v>12.5</v>
      </c>
      <c r="G41" s="5">
        <f t="shared" si="3"/>
        <v>25</v>
      </c>
      <c r="H41" s="10">
        <f>G41+$B$44/4</f>
        <v>37.5</v>
      </c>
      <c r="I41" s="39" t="s">
        <v>11</v>
      </c>
    </row>
    <row r="42" spans="1:9" ht="17.25" customHeight="1">
      <c r="A42" s="83"/>
      <c r="B42" s="68" t="s">
        <v>251</v>
      </c>
      <c r="C42" s="22" t="s">
        <v>7</v>
      </c>
      <c r="D42" s="5">
        <f t="shared" si="4"/>
        <v>-25</v>
      </c>
      <c r="E42" s="5">
        <f t="shared" si="4"/>
        <v>-12.5</v>
      </c>
      <c r="F42" s="6">
        <f>D40</f>
        <v>0</v>
      </c>
      <c r="G42" s="5">
        <f t="shared" si="3"/>
        <v>12.5</v>
      </c>
      <c r="H42" s="10">
        <f>G42+$B$44/4</f>
        <v>25</v>
      </c>
      <c r="I42" s="39" t="s">
        <v>47</v>
      </c>
    </row>
    <row r="43" spans="1:9" ht="17.25" customHeight="1">
      <c r="A43" s="83"/>
      <c r="B43" s="68" t="s">
        <v>252</v>
      </c>
      <c r="C43" s="22" t="s">
        <v>8</v>
      </c>
      <c r="D43" s="5">
        <f t="shared" si="4"/>
        <v>-37.5</v>
      </c>
      <c r="E43" s="5">
        <f t="shared" si="4"/>
        <v>-25</v>
      </c>
      <c r="F43" s="5">
        <f t="shared" si="4"/>
        <v>-12.5</v>
      </c>
      <c r="G43" s="6">
        <f>D40</f>
        <v>0</v>
      </c>
      <c r="H43" s="10">
        <f>G43+$B$44/4</f>
        <v>12.5</v>
      </c>
      <c r="I43" s="46"/>
    </row>
    <row r="44" spans="1:9" ht="17.25" customHeight="1" thickBot="1">
      <c r="A44" s="85"/>
      <c r="B44" s="19">
        <v>50</v>
      </c>
      <c r="C44" s="23" t="s">
        <v>9</v>
      </c>
      <c r="D44" s="11">
        <f>D43-$B$44/4</f>
        <v>-50</v>
      </c>
      <c r="E44" s="11">
        <f>E43-$B$44/4</f>
        <v>-37.5</v>
      </c>
      <c r="F44" s="11">
        <f>F43-$B$44/4</f>
        <v>-25</v>
      </c>
      <c r="G44" s="11">
        <f>G43-$B$44/4</f>
        <v>-12.5</v>
      </c>
      <c r="H44" s="9">
        <f>D40</f>
        <v>0</v>
      </c>
      <c r="I44" s="40"/>
    </row>
    <row r="45" spans="1:9" ht="17.25" customHeight="1" thickTop="1">
      <c r="A45" s="82" t="s">
        <v>48</v>
      </c>
      <c r="B45" s="17" t="s">
        <v>56</v>
      </c>
      <c r="C45" s="20" t="s">
        <v>185</v>
      </c>
      <c r="D45" s="80" t="s">
        <v>5</v>
      </c>
      <c r="E45" s="80" t="s">
        <v>6</v>
      </c>
      <c r="F45" s="80" t="s">
        <v>7</v>
      </c>
      <c r="G45" s="80" t="s">
        <v>8</v>
      </c>
      <c r="H45" s="89" t="s">
        <v>9</v>
      </c>
      <c r="I45" s="106" t="s">
        <v>74</v>
      </c>
    </row>
    <row r="46" spans="1:9" ht="17.25" customHeight="1">
      <c r="A46" s="83"/>
      <c r="B46" s="18" t="s">
        <v>57</v>
      </c>
      <c r="C46" s="21" t="s">
        <v>188</v>
      </c>
      <c r="D46" s="81"/>
      <c r="E46" s="81"/>
      <c r="F46" s="81"/>
      <c r="G46" s="81"/>
      <c r="H46" s="90"/>
      <c r="I46" s="109"/>
    </row>
    <row r="47" spans="1:9" ht="17.25" customHeight="1">
      <c r="A47" s="83"/>
      <c r="B47" s="47" t="s">
        <v>17</v>
      </c>
      <c r="C47" s="22" t="s">
        <v>5</v>
      </c>
      <c r="D47" s="4">
        <v>0</v>
      </c>
      <c r="E47" s="4">
        <f t="shared" ref="E47:G49" si="5">D47+$B$51/4</f>
        <v>7.5</v>
      </c>
      <c r="F47" s="4">
        <f t="shared" si="5"/>
        <v>15</v>
      </c>
      <c r="G47" s="4">
        <f t="shared" si="5"/>
        <v>22.5</v>
      </c>
      <c r="H47" s="4">
        <f>G47+$B$51/4</f>
        <v>30</v>
      </c>
      <c r="I47" s="14" t="s">
        <v>73</v>
      </c>
    </row>
    <row r="48" spans="1:9" ht="17.25" customHeight="1">
      <c r="A48" s="83"/>
      <c r="B48" s="18" t="s">
        <v>58</v>
      </c>
      <c r="C48" s="22" t="s">
        <v>6</v>
      </c>
      <c r="D48" s="4">
        <f>D47-$B$51/4</f>
        <v>-7.5</v>
      </c>
      <c r="E48" s="4">
        <v>0</v>
      </c>
      <c r="F48" s="4">
        <f t="shared" si="5"/>
        <v>7.5</v>
      </c>
      <c r="G48" s="4">
        <f t="shared" si="5"/>
        <v>15</v>
      </c>
      <c r="H48" s="4">
        <f>G48+$B$51/4</f>
        <v>22.5</v>
      </c>
      <c r="I48" s="14" t="s">
        <v>163</v>
      </c>
    </row>
    <row r="49" spans="1:9" ht="17.25" customHeight="1">
      <c r="A49" s="83"/>
      <c r="B49" s="47" t="s">
        <v>13</v>
      </c>
      <c r="C49" s="22" t="s">
        <v>7</v>
      </c>
      <c r="D49" s="4">
        <f>D48-$B$51/4</f>
        <v>-15</v>
      </c>
      <c r="E49" s="4">
        <f t="shared" ref="E49:G51" si="6">E48-$B$51/4</f>
        <v>-7.5</v>
      </c>
      <c r="F49" s="4">
        <v>0</v>
      </c>
      <c r="G49" s="4">
        <f t="shared" si="5"/>
        <v>7.5</v>
      </c>
      <c r="H49" s="4">
        <f>G49+$B$51/4</f>
        <v>15</v>
      </c>
      <c r="I49" s="14" t="s">
        <v>164</v>
      </c>
    </row>
    <row r="50" spans="1:9" ht="17.25" customHeight="1">
      <c r="A50" s="83"/>
      <c r="B50" s="18" t="s">
        <v>59</v>
      </c>
      <c r="C50" s="22" t="s">
        <v>8</v>
      </c>
      <c r="D50" s="4">
        <f>D49-$B$51/4</f>
        <v>-22.5</v>
      </c>
      <c r="E50" s="4">
        <f t="shared" si="6"/>
        <v>-15</v>
      </c>
      <c r="F50" s="4">
        <f t="shared" si="6"/>
        <v>-7.5</v>
      </c>
      <c r="G50" s="4">
        <v>0</v>
      </c>
      <c r="H50" s="4">
        <f>G50+$B$51/4</f>
        <v>7.5</v>
      </c>
      <c r="I50" s="14" t="s">
        <v>165</v>
      </c>
    </row>
    <row r="51" spans="1:9" ht="17.25" customHeight="1" thickBot="1">
      <c r="A51" s="83"/>
      <c r="B51" s="19">
        <v>30</v>
      </c>
      <c r="C51" s="23" t="s">
        <v>9</v>
      </c>
      <c r="D51" s="4">
        <f>D50-$B$51/4</f>
        <v>-30</v>
      </c>
      <c r="E51" s="4">
        <f t="shared" si="6"/>
        <v>-22.5</v>
      </c>
      <c r="F51" s="4">
        <f t="shared" si="6"/>
        <v>-15</v>
      </c>
      <c r="G51" s="4">
        <f t="shared" si="6"/>
        <v>-7.5</v>
      </c>
      <c r="H51" s="4">
        <v>0</v>
      </c>
      <c r="I51" s="15" t="s">
        <v>166</v>
      </c>
    </row>
    <row r="52" spans="1:9" ht="17.25" customHeight="1">
      <c r="A52" s="83"/>
      <c r="B52" s="17" t="s">
        <v>50</v>
      </c>
      <c r="C52" s="20" t="s">
        <v>186</v>
      </c>
      <c r="D52" s="80" t="s">
        <v>5</v>
      </c>
      <c r="E52" s="80" t="s">
        <v>6</v>
      </c>
      <c r="F52" s="80" t="s">
        <v>7</v>
      </c>
      <c r="G52" s="80" t="s">
        <v>8</v>
      </c>
      <c r="H52" s="89" t="s">
        <v>9</v>
      </c>
      <c r="I52" s="105" t="s">
        <v>72</v>
      </c>
    </row>
    <row r="53" spans="1:9" ht="17.25" customHeight="1">
      <c r="A53" s="83"/>
      <c r="B53" s="18" t="s">
        <v>52</v>
      </c>
      <c r="C53" s="21" t="s">
        <v>187</v>
      </c>
      <c r="D53" s="81"/>
      <c r="E53" s="81"/>
      <c r="F53" s="81"/>
      <c r="G53" s="81"/>
      <c r="H53" s="90"/>
      <c r="I53" s="109"/>
    </row>
    <row r="54" spans="1:9" ht="17.25" customHeight="1">
      <c r="A54" s="83"/>
      <c r="B54" s="47" t="s">
        <v>65</v>
      </c>
      <c r="C54" s="22" t="s">
        <v>5</v>
      </c>
      <c r="D54" s="6">
        <v>0</v>
      </c>
      <c r="E54" s="6">
        <f t="shared" ref="E54:G55" si="7">D54+$B$58/4</f>
        <v>5</v>
      </c>
      <c r="F54" s="6">
        <f t="shared" si="7"/>
        <v>10</v>
      </c>
      <c r="G54" s="6">
        <f t="shared" si="7"/>
        <v>15</v>
      </c>
      <c r="H54" s="6">
        <f>G54+$B$58/4</f>
        <v>20</v>
      </c>
      <c r="I54" s="14" t="s">
        <v>67</v>
      </c>
    </row>
    <row r="55" spans="1:9" ht="17.25" customHeight="1">
      <c r="A55" s="83"/>
      <c r="B55" s="18" t="s">
        <v>66</v>
      </c>
      <c r="C55" s="22" t="s">
        <v>6</v>
      </c>
      <c r="D55" s="6">
        <f>D54-$B$58/4</f>
        <v>-5</v>
      </c>
      <c r="E55" s="6">
        <v>0</v>
      </c>
      <c r="F55" s="6">
        <f t="shared" si="7"/>
        <v>5</v>
      </c>
      <c r="G55" s="6">
        <f>F55+$B$58/4</f>
        <v>10</v>
      </c>
      <c r="H55" s="6">
        <f>G55+$B$58/4</f>
        <v>15</v>
      </c>
      <c r="I55" s="14" t="s">
        <v>68</v>
      </c>
    </row>
    <row r="56" spans="1:9" ht="17.25" customHeight="1">
      <c r="A56" s="83"/>
      <c r="B56" s="48"/>
      <c r="C56" s="22" t="s">
        <v>7</v>
      </c>
      <c r="D56" s="6">
        <f>D55-$B$58/4</f>
        <v>-10</v>
      </c>
      <c r="E56" s="6">
        <f t="shared" ref="E56:G58" si="8">E55-$B$58/4</f>
        <v>-5</v>
      </c>
      <c r="F56" s="6">
        <v>0</v>
      </c>
      <c r="G56" s="6">
        <f>F56+$B$58/4</f>
        <v>5</v>
      </c>
      <c r="H56" s="6">
        <f>G56+$B$58/4</f>
        <v>10</v>
      </c>
      <c r="I56" s="14" t="s">
        <v>69</v>
      </c>
    </row>
    <row r="57" spans="1:9" ht="17.25" customHeight="1">
      <c r="A57" s="83"/>
      <c r="B57" s="18"/>
      <c r="C57" s="22" t="s">
        <v>8</v>
      </c>
      <c r="D57" s="6">
        <f>D56-$B$58/4</f>
        <v>-15</v>
      </c>
      <c r="E57" s="6">
        <f t="shared" si="8"/>
        <v>-10</v>
      </c>
      <c r="F57" s="6">
        <f t="shared" si="8"/>
        <v>-5</v>
      </c>
      <c r="G57" s="6">
        <v>0</v>
      </c>
      <c r="H57" s="6">
        <f>G57+$B$58/4</f>
        <v>5</v>
      </c>
      <c r="I57" s="14" t="s">
        <v>70</v>
      </c>
    </row>
    <row r="58" spans="1:9" ht="17.25" customHeight="1" thickBot="1">
      <c r="A58" s="83"/>
      <c r="B58" s="19">
        <v>20</v>
      </c>
      <c r="C58" s="23" t="s">
        <v>9</v>
      </c>
      <c r="D58" s="6">
        <f>D57-$B$58/4</f>
        <v>-20</v>
      </c>
      <c r="E58" s="6">
        <f t="shared" si="8"/>
        <v>-15</v>
      </c>
      <c r="F58" s="6">
        <f t="shared" si="8"/>
        <v>-10</v>
      </c>
      <c r="G58" s="6">
        <f t="shared" si="8"/>
        <v>-5</v>
      </c>
      <c r="H58" s="6">
        <v>0</v>
      </c>
      <c r="I58" s="15" t="s">
        <v>71</v>
      </c>
    </row>
    <row r="59" spans="1:9" ht="17.25" customHeight="1">
      <c r="A59" s="83"/>
      <c r="B59" s="17" t="s">
        <v>19</v>
      </c>
      <c r="C59" s="20" t="s">
        <v>185</v>
      </c>
      <c r="D59" s="80" t="s">
        <v>5</v>
      </c>
      <c r="E59" s="80" t="s">
        <v>6</v>
      </c>
      <c r="F59" s="80" t="s">
        <v>7</v>
      </c>
      <c r="G59" s="80" t="s">
        <v>8</v>
      </c>
      <c r="H59" s="89" t="s">
        <v>9</v>
      </c>
      <c r="I59" s="105" t="s">
        <v>75</v>
      </c>
    </row>
    <row r="60" spans="1:9" ht="17.25" customHeight="1">
      <c r="A60" s="83"/>
      <c r="B60" s="18" t="s">
        <v>62</v>
      </c>
      <c r="C60" s="21" t="s">
        <v>187</v>
      </c>
      <c r="D60" s="81"/>
      <c r="E60" s="81"/>
      <c r="F60" s="81"/>
      <c r="G60" s="81"/>
      <c r="H60" s="90"/>
      <c r="I60" s="109"/>
    </row>
    <row r="61" spans="1:9" ht="17.25" customHeight="1">
      <c r="A61" s="83"/>
      <c r="B61" s="18" t="s">
        <v>63</v>
      </c>
      <c r="C61" s="22" t="s">
        <v>5</v>
      </c>
      <c r="D61" s="4">
        <v>0</v>
      </c>
      <c r="E61" s="4">
        <f t="shared" ref="E61:G62" si="9">D61+$B$65/4</f>
        <v>5</v>
      </c>
      <c r="F61" s="4">
        <f t="shared" si="9"/>
        <v>10</v>
      </c>
      <c r="G61" s="4">
        <f t="shared" si="9"/>
        <v>15</v>
      </c>
      <c r="H61" s="4">
        <f>G61+$B$65/4</f>
        <v>20</v>
      </c>
      <c r="I61" s="26" t="s">
        <v>131</v>
      </c>
    </row>
    <row r="62" spans="1:9" ht="17.25" customHeight="1">
      <c r="A62" s="83"/>
      <c r="B62" s="18" t="s">
        <v>64</v>
      </c>
      <c r="C62" s="22" t="s">
        <v>6</v>
      </c>
      <c r="D62" s="4">
        <f>D61-$B$65/4</f>
        <v>-5</v>
      </c>
      <c r="E62" s="4">
        <v>0</v>
      </c>
      <c r="F62" s="4">
        <f t="shared" si="9"/>
        <v>5</v>
      </c>
      <c r="G62" s="4">
        <f>F62+$B$65/4</f>
        <v>10</v>
      </c>
      <c r="H62" s="4">
        <f>G62+$B$65/4</f>
        <v>15</v>
      </c>
      <c r="I62" s="26" t="s">
        <v>132</v>
      </c>
    </row>
    <row r="63" spans="1:9" ht="17.25" customHeight="1">
      <c r="A63" s="83"/>
      <c r="B63" s="18"/>
      <c r="C63" s="22" t="s">
        <v>7</v>
      </c>
      <c r="D63" s="4">
        <f>D62-$B$65/4</f>
        <v>-10</v>
      </c>
      <c r="E63" s="4">
        <f t="shared" ref="E63:G65" si="10">E62-$B$65/4</f>
        <v>-5</v>
      </c>
      <c r="F63" s="4">
        <v>0</v>
      </c>
      <c r="G63" s="4">
        <f>F63+$B$65/4</f>
        <v>5</v>
      </c>
      <c r="H63" s="4">
        <f>G63+$B$65/4</f>
        <v>10</v>
      </c>
      <c r="I63" s="26" t="s">
        <v>133</v>
      </c>
    </row>
    <row r="64" spans="1:9" ht="17.25" customHeight="1">
      <c r="A64" s="83"/>
      <c r="B64" s="18"/>
      <c r="C64" s="22" t="s">
        <v>8</v>
      </c>
      <c r="D64" s="4">
        <f>D63-$B$65/4</f>
        <v>-15</v>
      </c>
      <c r="E64" s="4">
        <f t="shared" si="10"/>
        <v>-10</v>
      </c>
      <c r="F64" s="4">
        <f t="shared" si="10"/>
        <v>-5</v>
      </c>
      <c r="G64" s="4">
        <f t="shared" si="10"/>
        <v>0</v>
      </c>
      <c r="H64" s="4">
        <f>G64+$B$65/4</f>
        <v>5</v>
      </c>
      <c r="I64" s="26" t="s">
        <v>134</v>
      </c>
    </row>
    <row r="65" spans="1:9" ht="17.25" customHeight="1" thickBot="1">
      <c r="A65" s="83"/>
      <c r="B65" s="19">
        <v>20</v>
      </c>
      <c r="C65" s="23" t="s">
        <v>9</v>
      </c>
      <c r="D65" s="4">
        <f>D64-$B$65/4</f>
        <v>-20</v>
      </c>
      <c r="E65" s="4">
        <f t="shared" si="10"/>
        <v>-15</v>
      </c>
      <c r="F65" s="4">
        <f t="shared" si="10"/>
        <v>-10</v>
      </c>
      <c r="G65" s="4">
        <f t="shared" si="10"/>
        <v>-5</v>
      </c>
      <c r="H65" s="4">
        <v>0</v>
      </c>
      <c r="I65" s="28" t="s">
        <v>135</v>
      </c>
    </row>
    <row r="66" spans="1:9" ht="17.25" customHeight="1">
      <c r="A66" s="83"/>
      <c r="B66" s="17" t="s">
        <v>200</v>
      </c>
      <c r="C66" s="20" t="s">
        <v>185</v>
      </c>
      <c r="D66" s="80" t="s">
        <v>5</v>
      </c>
      <c r="E66" s="80" t="s">
        <v>6</v>
      </c>
      <c r="F66" s="80" t="s">
        <v>7</v>
      </c>
      <c r="G66" s="80" t="s">
        <v>8</v>
      </c>
      <c r="H66" s="89" t="s">
        <v>9</v>
      </c>
      <c r="I66" s="105" t="s">
        <v>76</v>
      </c>
    </row>
    <row r="67" spans="1:9" ht="17.25" customHeight="1">
      <c r="A67" s="83"/>
      <c r="B67" s="18" t="s">
        <v>19</v>
      </c>
      <c r="C67" s="21" t="s">
        <v>187</v>
      </c>
      <c r="D67" s="81"/>
      <c r="E67" s="81"/>
      <c r="F67" s="81"/>
      <c r="G67" s="81"/>
      <c r="H67" s="90"/>
      <c r="I67" s="109"/>
    </row>
    <row r="68" spans="1:9" ht="17.25" customHeight="1">
      <c r="A68" s="83"/>
      <c r="B68" s="18" t="s">
        <v>207</v>
      </c>
      <c r="C68" s="22" t="s">
        <v>5</v>
      </c>
      <c r="D68" s="4">
        <v>0</v>
      </c>
      <c r="E68" s="4">
        <f t="shared" ref="E68:G69" si="11">D68+$B$72/4</f>
        <v>2</v>
      </c>
      <c r="F68" s="4">
        <f t="shared" si="11"/>
        <v>4</v>
      </c>
      <c r="G68" s="4">
        <f t="shared" si="11"/>
        <v>6</v>
      </c>
      <c r="H68" s="4">
        <f>G68+$B$72/4</f>
        <v>8</v>
      </c>
      <c r="I68" s="14" t="s">
        <v>167</v>
      </c>
    </row>
    <row r="69" spans="1:9" ht="17.25" customHeight="1">
      <c r="A69" s="83"/>
      <c r="B69" s="18" t="s">
        <v>201</v>
      </c>
      <c r="C69" s="22" t="s">
        <v>6</v>
      </c>
      <c r="D69" s="4">
        <f>D68-$B$72/4</f>
        <v>-2</v>
      </c>
      <c r="E69" s="4">
        <v>0</v>
      </c>
      <c r="F69" s="4">
        <f t="shared" si="11"/>
        <v>2</v>
      </c>
      <c r="G69" s="4">
        <f>F69+$B$72/4</f>
        <v>4</v>
      </c>
      <c r="H69" s="4">
        <f>G69+$B$72/4</f>
        <v>6</v>
      </c>
      <c r="I69" s="14" t="s">
        <v>168</v>
      </c>
    </row>
    <row r="70" spans="1:9" ht="17.25" customHeight="1">
      <c r="A70" s="83"/>
      <c r="B70" s="18" t="s">
        <v>49</v>
      </c>
      <c r="C70" s="22" t="s">
        <v>7</v>
      </c>
      <c r="D70" s="4">
        <f>D69-$B$72/4</f>
        <v>-4</v>
      </c>
      <c r="E70" s="4">
        <f t="shared" ref="E70:G72" si="12">E69-$B$72/4</f>
        <v>-2</v>
      </c>
      <c r="F70" s="4">
        <v>0</v>
      </c>
      <c r="G70" s="4">
        <f>F70+$B$72/4</f>
        <v>2</v>
      </c>
      <c r="H70" s="4">
        <f>G70+$B$72/4</f>
        <v>4</v>
      </c>
      <c r="I70" s="14" t="s">
        <v>169</v>
      </c>
    </row>
    <row r="71" spans="1:9" ht="17.25" customHeight="1">
      <c r="A71" s="83"/>
      <c r="B71" s="18"/>
      <c r="C71" s="22" t="s">
        <v>8</v>
      </c>
      <c r="D71" s="4">
        <f>D70-$B$72/4</f>
        <v>-6</v>
      </c>
      <c r="E71" s="4">
        <f t="shared" si="12"/>
        <v>-4</v>
      </c>
      <c r="F71" s="4">
        <f t="shared" si="12"/>
        <v>-2</v>
      </c>
      <c r="G71" s="4">
        <v>0</v>
      </c>
      <c r="H71" s="4">
        <f>G71+$B$72/4</f>
        <v>2</v>
      </c>
      <c r="I71" s="14" t="s">
        <v>170</v>
      </c>
    </row>
    <row r="72" spans="1:9" ht="17.25" customHeight="1" thickBot="1">
      <c r="A72" s="83"/>
      <c r="B72" s="62">
        <v>8</v>
      </c>
      <c r="C72" s="23" t="s">
        <v>9</v>
      </c>
      <c r="D72" s="4">
        <f>D71-$B$72/4</f>
        <v>-8</v>
      </c>
      <c r="E72" s="4">
        <f t="shared" si="12"/>
        <v>-6</v>
      </c>
      <c r="F72" s="4">
        <f t="shared" si="12"/>
        <v>-4</v>
      </c>
      <c r="G72" s="4">
        <f t="shared" si="12"/>
        <v>-2</v>
      </c>
      <c r="H72" s="4">
        <v>0</v>
      </c>
      <c r="I72" s="28" t="s">
        <v>171</v>
      </c>
    </row>
    <row r="73" spans="1:9" ht="17.25" customHeight="1">
      <c r="A73" s="83"/>
      <c r="B73" s="17" t="s">
        <v>60</v>
      </c>
      <c r="C73" s="20" t="s">
        <v>185</v>
      </c>
      <c r="D73" s="80" t="s">
        <v>5</v>
      </c>
      <c r="E73" s="80" t="s">
        <v>6</v>
      </c>
      <c r="F73" s="80" t="s">
        <v>7</v>
      </c>
      <c r="G73" s="80" t="s">
        <v>8</v>
      </c>
      <c r="H73" s="89" t="s">
        <v>9</v>
      </c>
      <c r="I73" s="105" t="s">
        <v>77</v>
      </c>
    </row>
    <row r="74" spans="1:9" ht="17.25" customHeight="1">
      <c r="A74" s="83"/>
      <c r="B74" s="18" t="s">
        <v>61</v>
      </c>
      <c r="C74" s="21" t="s">
        <v>187</v>
      </c>
      <c r="D74" s="81"/>
      <c r="E74" s="81"/>
      <c r="F74" s="81"/>
      <c r="G74" s="81"/>
      <c r="H74" s="90"/>
      <c r="I74" s="106"/>
    </row>
    <row r="75" spans="1:9" ht="17.25" customHeight="1">
      <c r="A75" s="83"/>
      <c r="B75" s="18" t="s">
        <v>54</v>
      </c>
      <c r="C75" s="22" t="s">
        <v>5</v>
      </c>
      <c r="D75" s="6">
        <v>0</v>
      </c>
      <c r="E75" s="6">
        <f t="shared" ref="E75:G76" si="13">D75+$B$79/4</f>
        <v>1.25</v>
      </c>
      <c r="F75" s="6">
        <f t="shared" si="13"/>
        <v>2.5</v>
      </c>
      <c r="G75" s="6">
        <f t="shared" si="13"/>
        <v>3.75</v>
      </c>
      <c r="H75" s="6">
        <f>G75+$B$79/4</f>
        <v>5</v>
      </c>
      <c r="I75" s="14" t="s">
        <v>172</v>
      </c>
    </row>
    <row r="76" spans="1:9" ht="17.25" customHeight="1">
      <c r="A76" s="83"/>
      <c r="B76" s="18" t="s">
        <v>19</v>
      </c>
      <c r="C76" s="22" t="s">
        <v>6</v>
      </c>
      <c r="D76" s="6">
        <f t="shared" ref="D76:F78" si="14">D75-$B$79/4</f>
        <v>-1.25</v>
      </c>
      <c r="E76" s="6">
        <v>0</v>
      </c>
      <c r="F76" s="6">
        <f t="shared" si="13"/>
        <v>1.25</v>
      </c>
      <c r="G76" s="6">
        <f>F76+$B$79/4</f>
        <v>2.5</v>
      </c>
      <c r="H76" s="6">
        <f>G76+$B$79/4</f>
        <v>3.75</v>
      </c>
      <c r="I76" s="14" t="s">
        <v>173</v>
      </c>
    </row>
    <row r="77" spans="1:9" ht="17.25" customHeight="1">
      <c r="A77" s="83"/>
      <c r="B77" s="18" t="s">
        <v>60</v>
      </c>
      <c r="C77" s="22" t="s">
        <v>7</v>
      </c>
      <c r="D77" s="6">
        <f t="shared" si="14"/>
        <v>-2.5</v>
      </c>
      <c r="E77" s="6">
        <f t="shared" si="14"/>
        <v>-1.25</v>
      </c>
      <c r="F77" s="6">
        <v>0</v>
      </c>
      <c r="G77" s="6">
        <f>F77+$B$79/4</f>
        <v>1.25</v>
      </c>
      <c r="H77" s="6">
        <f>G77+$B$79/4</f>
        <v>2.5</v>
      </c>
      <c r="I77" s="14" t="s">
        <v>174</v>
      </c>
    </row>
    <row r="78" spans="1:9" ht="17.25" customHeight="1">
      <c r="A78" s="83"/>
      <c r="B78" s="18" t="s">
        <v>189</v>
      </c>
      <c r="C78" s="22" t="s">
        <v>8</v>
      </c>
      <c r="D78" s="6">
        <f t="shared" si="14"/>
        <v>-3.75</v>
      </c>
      <c r="E78" s="6">
        <f t="shared" si="14"/>
        <v>-2.5</v>
      </c>
      <c r="F78" s="6">
        <f t="shared" si="14"/>
        <v>-1.25</v>
      </c>
      <c r="G78" s="6">
        <v>0</v>
      </c>
      <c r="H78" s="6">
        <f>G78+$B$79/4</f>
        <v>1.25</v>
      </c>
      <c r="I78" s="14" t="s">
        <v>175</v>
      </c>
    </row>
    <row r="79" spans="1:9" ht="17.25" customHeight="1" thickBot="1">
      <c r="A79" s="83"/>
      <c r="B79" s="19">
        <v>5</v>
      </c>
      <c r="C79" s="23" t="s">
        <v>9</v>
      </c>
      <c r="D79" s="6">
        <f>D78-$B$79/4</f>
        <v>-5</v>
      </c>
      <c r="E79" s="6">
        <f>E78-$B$79/4</f>
        <v>-3.75</v>
      </c>
      <c r="F79" s="6">
        <f>F78-$B$79/4</f>
        <v>-2.5</v>
      </c>
      <c r="G79" s="6">
        <f>G78-$B$79/4</f>
        <v>-1.25</v>
      </c>
      <c r="H79" s="6">
        <v>0</v>
      </c>
      <c r="I79" s="28" t="s">
        <v>176</v>
      </c>
    </row>
    <row r="80" spans="1:9" ht="17.25" customHeight="1">
      <c r="A80" s="83"/>
      <c r="B80" s="17" t="s">
        <v>50</v>
      </c>
      <c r="C80" s="20" t="s">
        <v>185</v>
      </c>
      <c r="D80" s="80" t="s">
        <v>5</v>
      </c>
      <c r="E80" s="80" t="s">
        <v>177</v>
      </c>
      <c r="F80" s="80" t="s">
        <v>178</v>
      </c>
      <c r="G80" s="80"/>
      <c r="H80" s="89"/>
      <c r="I80" s="107" t="s">
        <v>51</v>
      </c>
    </row>
    <row r="81" spans="1:9" ht="17.25" customHeight="1">
      <c r="A81" s="83"/>
      <c r="B81" s="18" t="s">
        <v>52</v>
      </c>
      <c r="C81" s="21" t="s">
        <v>187</v>
      </c>
      <c r="D81" s="81"/>
      <c r="E81" s="81"/>
      <c r="F81" s="81"/>
      <c r="G81" s="81"/>
      <c r="H81" s="90"/>
      <c r="I81" s="108"/>
    </row>
    <row r="82" spans="1:9" ht="17.25" customHeight="1">
      <c r="A82" s="83"/>
      <c r="B82" s="18" t="s">
        <v>53</v>
      </c>
      <c r="C82" s="22" t="s">
        <v>5</v>
      </c>
      <c r="D82" s="6">
        <v>0</v>
      </c>
      <c r="E82" s="6">
        <v>10</v>
      </c>
      <c r="F82" s="6">
        <v>20</v>
      </c>
      <c r="G82" s="6"/>
      <c r="H82" s="6"/>
      <c r="I82" s="14" t="s">
        <v>78</v>
      </c>
    </row>
    <row r="83" spans="1:9" ht="17.25" customHeight="1">
      <c r="A83" s="83"/>
      <c r="B83" s="18" t="s">
        <v>54</v>
      </c>
      <c r="C83" s="22" t="s">
        <v>177</v>
      </c>
      <c r="D83" s="6">
        <v>-10</v>
      </c>
      <c r="E83" s="6">
        <v>0</v>
      </c>
      <c r="F83" s="6">
        <v>10</v>
      </c>
      <c r="G83" s="6"/>
      <c r="H83" s="6"/>
      <c r="I83" s="14" t="s">
        <v>79</v>
      </c>
    </row>
    <row r="84" spans="1:9" ht="17.25" customHeight="1">
      <c r="A84" s="83"/>
      <c r="B84" s="18" t="s">
        <v>55</v>
      </c>
      <c r="C84" s="22" t="s">
        <v>178</v>
      </c>
      <c r="D84" s="6">
        <v>-20</v>
      </c>
      <c r="E84" s="6">
        <v>-10</v>
      </c>
      <c r="F84" s="6">
        <v>0</v>
      </c>
      <c r="G84" s="6"/>
      <c r="H84" s="6"/>
      <c r="I84" s="15" t="s">
        <v>80</v>
      </c>
    </row>
    <row r="85" spans="1:9" ht="13.2" customHeight="1">
      <c r="A85" s="83"/>
      <c r="B85" s="18" t="s">
        <v>49</v>
      </c>
      <c r="C85" s="22"/>
      <c r="D85" s="6"/>
      <c r="E85" s="6"/>
      <c r="F85" s="6"/>
      <c r="G85" s="6"/>
      <c r="H85" s="6"/>
      <c r="I85" s="14"/>
    </row>
    <row r="86" spans="1:9" ht="17.25" customHeight="1" thickBot="1">
      <c r="A86" s="85"/>
      <c r="B86" s="19">
        <v>20</v>
      </c>
      <c r="C86" s="23"/>
      <c r="D86" s="6"/>
      <c r="E86" s="6"/>
      <c r="F86" s="6"/>
      <c r="G86" s="6"/>
      <c r="H86" s="6"/>
      <c r="I86" s="79"/>
    </row>
    <row r="87" spans="1:9" ht="17.25" customHeight="1" thickTop="1">
      <c r="A87" s="82" t="s">
        <v>81</v>
      </c>
      <c r="B87" s="17" t="s">
        <v>87</v>
      </c>
      <c r="C87" s="20" t="s">
        <v>185</v>
      </c>
      <c r="D87" s="80" t="s">
        <v>5</v>
      </c>
      <c r="E87" s="80" t="s">
        <v>177</v>
      </c>
      <c r="F87" s="80" t="s">
        <v>178</v>
      </c>
      <c r="G87" s="80"/>
      <c r="H87" s="89"/>
      <c r="I87" s="107" t="s">
        <v>118</v>
      </c>
    </row>
    <row r="88" spans="1:9" ht="19.2" customHeight="1">
      <c r="A88" s="83"/>
      <c r="B88" s="18" t="s">
        <v>84</v>
      </c>
      <c r="C88" s="21" t="s">
        <v>187</v>
      </c>
      <c r="D88" s="81"/>
      <c r="E88" s="81"/>
      <c r="F88" s="81"/>
      <c r="G88" s="81"/>
      <c r="H88" s="90"/>
      <c r="I88" s="108"/>
    </row>
    <row r="89" spans="1:9" ht="17.25" customHeight="1">
      <c r="A89" s="83"/>
      <c r="B89" s="18" t="s">
        <v>16</v>
      </c>
      <c r="C89" s="22" t="s">
        <v>5</v>
      </c>
      <c r="D89" s="5">
        <v>0</v>
      </c>
      <c r="E89" s="5">
        <v>15</v>
      </c>
      <c r="F89" s="5">
        <v>30</v>
      </c>
      <c r="G89" s="5"/>
      <c r="H89" s="10"/>
      <c r="I89" s="26" t="s">
        <v>180</v>
      </c>
    </row>
    <row r="90" spans="1:9" ht="17.25" customHeight="1">
      <c r="A90" s="83"/>
      <c r="B90" s="18" t="s">
        <v>85</v>
      </c>
      <c r="C90" s="22" t="s">
        <v>177</v>
      </c>
      <c r="D90" s="5">
        <v>-15</v>
      </c>
      <c r="E90" s="5">
        <f>D89</f>
        <v>0</v>
      </c>
      <c r="F90" s="5">
        <v>15</v>
      </c>
      <c r="G90" s="5"/>
      <c r="H90" s="10"/>
      <c r="I90" s="26" t="s">
        <v>179</v>
      </c>
    </row>
    <row r="91" spans="1:9" ht="17.25" customHeight="1">
      <c r="A91" s="83"/>
      <c r="B91" s="18" t="s">
        <v>86</v>
      </c>
      <c r="C91" s="22" t="s">
        <v>178</v>
      </c>
      <c r="D91" s="5">
        <v>-30</v>
      </c>
      <c r="E91" s="5">
        <v>-15</v>
      </c>
      <c r="F91" s="5">
        <f>D89</f>
        <v>0</v>
      </c>
      <c r="G91" s="5"/>
      <c r="H91" s="10"/>
      <c r="I91" s="15" t="s">
        <v>88</v>
      </c>
    </row>
    <row r="92" spans="1:9" ht="12" customHeight="1">
      <c r="A92" s="83"/>
      <c r="B92" s="18"/>
      <c r="C92" s="22"/>
      <c r="D92" s="5"/>
      <c r="E92" s="5"/>
      <c r="F92" s="5"/>
      <c r="G92" s="5"/>
      <c r="H92" s="10"/>
      <c r="I92" s="26"/>
    </row>
    <row r="93" spans="1:9" ht="13.2" customHeight="1" thickBot="1">
      <c r="A93" s="83"/>
      <c r="B93" s="19">
        <v>30</v>
      </c>
      <c r="C93" s="23"/>
      <c r="D93" s="11"/>
      <c r="E93" s="11"/>
      <c r="F93" s="11"/>
      <c r="G93" s="11"/>
      <c r="H93" s="57"/>
      <c r="I93" s="28"/>
    </row>
    <row r="94" spans="1:9" ht="21" customHeight="1">
      <c r="A94" s="83"/>
      <c r="B94" s="17" t="s">
        <v>83</v>
      </c>
      <c r="C94" s="20" t="s">
        <v>185</v>
      </c>
      <c r="D94" s="80" t="s">
        <v>5</v>
      </c>
      <c r="E94" s="80" t="s">
        <v>6</v>
      </c>
      <c r="F94" s="80" t="s">
        <v>7</v>
      </c>
      <c r="G94" s="80" t="s">
        <v>8</v>
      </c>
      <c r="H94" s="89" t="s">
        <v>9</v>
      </c>
      <c r="I94" s="107" t="s">
        <v>89</v>
      </c>
    </row>
    <row r="95" spans="1:9" ht="13.5" customHeight="1">
      <c r="A95" s="83"/>
      <c r="B95" s="18" t="s">
        <v>82</v>
      </c>
      <c r="C95" s="21" t="s">
        <v>187</v>
      </c>
      <c r="D95" s="81"/>
      <c r="E95" s="81"/>
      <c r="F95" s="81"/>
      <c r="G95" s="81"/>
      <c r="H95" s="90"/>
      <c r="I95" s="108"/>
    </row>
    <row r="96" spans="1:9" ht="17.25" customHeight="1">
      <c r="A96" s="83"/>
      <c r="B96" s="18"/>
      <c r="C96" s="22" t="s">
        <v>5</v>
      </c>
      <c r="D96" s="6">
        <v>0</v>
      </c>
      <c r="E96" s="5">
        <f t="shared" ref="E96:G97" si="15">D96+$B$100/4</f>
        <v>2.5</v>
      </c>
      <c r="F96" s="5">
        <f t="shared" si="15"/>
        <v>5</v>
      </c>
      <c r="G96" s="5">
        <f t="shared" si="15"/>
        <v>7.5</v>
      </c>
      <c r="H96" s="5">
        <f>G96+$B$100/4</f>
        <v>10</v>
      </c>
      <c r="I96" s="26" t="s">
        <v>90</v>
      </c>
    </row>
    <row r="97" spans="1:9" ht="18" customHeight="1">
      <c r="A97" s="83"/>
      <c r="B97" s="18"/>
      <c r="C97" s="22" t="s">
        <v>6</v>
      </c>
      <c r="D97" s="5">
        <f>D96-$B$100/4</f>
        <v>-2.5</v>
      </c>
      <c r="E97" s="6">
        <f>D96</f>
        <v>0</v>
      </c>
      <c r="F97" s="5">
        <f t="shared" si="15"/>
        <v>2.5</v>
      </c>
      <c r="G97" s="5">
        <f>F97+$B$100/4</f>
        <v>5</v>
      </c>
      <c r="H97" s="5">
        <f>G97+$B$100/4</f>
        <v>7.5</v>
      </c>
      <c r="I97" s="26" t="s">
        <v>91</v>
      </c>
    </row>
    <row r="98" spans="1:9" ht="18" customHeight="1">
      <c r="A98" s="83"/>
      <c r="B98" s="18"/>
      <c r="C98" s="22" t="s">
        <v>7</v>
      </c>
      <c r="D98" s="5">
        <f>D97-$B$100/4</f>
        <v>-5</v>
      </c>
      <c r="E98" s="5">
        <f>E97-$B$100/4</f>
        <v>-2.5</v>
      </c>
      <c r="F98" s="6">
        <f>D96</f>
        <v>0</v>
      </c>
      <c r="G98" s="5">
        <f>F98+$B$100/4</f>
        <v>2.5</v>
      </c>
      <c r="H98" s="5">
        <f>G98+$B$100/4</f>
        <v>5</v>
      </c>
      <c r="I98" s="26" t="s">
        <v>92</v>
      </c>
    </row>
    <row r="99" spans="1:9" ht="18" customHeight="1">
      <c r="A99" s="83"/>
      <c r="B99" s="18"/>
      <c r="C99" s="22" t="s">
        <v>8</v>
      </c>
      <c r="D99" s="5">
        <f>D98-$B$100/4</f>
        <v>-7.5</v>
      </c>
      <c r="E99" s="5">
        <f>E98-$B$100/4</f>
        <v>-5</v>
      </c>
      <c r="F99" s="5">
        <f>F98-$B$100/4</f>
        <v>-2.5</v>
      </c>
      <c r="G99" s="6">
        <f>D96</f>
        <v>0</v>
      </c>
      <c r="H99" s="5">
        <f>G99+$B$100/4</f>
        <v>2.5</v>
      </c>
      <c r="I99" s="26" t="s">
        <v>93</v>
      </c>
    </row>
    <row r="100" spans="1:9" ht="18" customHeight="1" thickBot="1">
      <c r="A100" s="84"/>
      <c r="B100" s="19">
        <v>10</v>
      </c>
      <c r="C100" s="41" t="s">
        <v>9</v>
      </c>
      <c r="D100" s="49">
        <f>D99-$B$100/4</f>
        <v>-10</v>
      </c>
      <c r="E100" s="49">
        <f>E99-$B$100/4</f>
        <v>-7.5</v>
      </c>
      <c r="F100" s="49">
        <f>F99-$B$100/4</f>
        <v>-5</v>
      </c>
      <c r="G100" s="49">
        <f>G99-$B$100/4</f>
        <v>-2.5</v>
      </c>
      <c r="H100" s="44">
        <f>D96</f>
        <v>0</v>
      </c>
      <c r="I100" s="15" t="s">
        <v>94</v>
      </c>
    </row>
    <row r="101" spans="1:9" ht="17.25" customHeight="1" thickTop="1">
      <c r="A101" s="82" t="s">
        <v>199</v>
      </c>
      <c r="B101" s="63" t="s">
        <v>202</v>
      </c>
      <c r="C101" s="20" t="s">
        <v>185</v>
      </c>
      <c r="D101" s="80" t="s">
        <v>5</v>
      </c>
      <c r="E101" s="80" t="s">
        <v>6</v>
      </c>
      <c r="F101" s="80" t="s">
        <v>7</v>
      </c>
      <c r="G101" s="80" t="s">
        <v>8</v>
      </c>
      <c r="H101" s="89" t="s">
        <v>9</v>
      </c>
      <c r="I101" s="91" t="s">
        <v>104</v>
      </c>
    </row>
    <row r="102" spans="1:9">
      <c r="A102" s="83"/>
      <c r="B102" s="64" t="s">
        <v>64</v>
      </c>
      <c r="C102" s="21" t="s">
        <v>187</v>
      </c>
      <c r="D102" s="81"/>
      <c r="E102" s="81"/>
      <c r="F102" s="81"/>
      <c r="G102" s="81"/>
      <c r="H102" s="90"/>
      <c r="I102" s="92"/>
    </row>
    <row r="103" spans="1:9" s="3" customFormat="1">
      <c r="A103" s="83"/>
      <c r="B103" s="64" t="s">
        <v>203</v>
      </c>
      <c r="C103" s="22" t="s">
        <v>5</v>
      </c>
      <c r="D103" s="6">
        <v>0</v>
      </c>
      <c r="E103" s="5">
        <f>D103+$B$107/4</f>
        <v>2</v>
      </c>
      <c r="F103" s="5">
        <f>E103+$B$107/4</f>
        <v>4</v>
      </c>
      <c r="G103" s="5">
        <f>F103+$B$107/4</f>
        <v>6</v>
      </c>
      <c r="H103" s="10">
        <f>G103+$B$107/4</f>
        <v>8</v>
      </c>
      <c r="I103" s="26" t="s">
        <v>131</v>
      </c>
    </row>
    <row r="104" spans="1:9" s="3" customFormat="1">
      <c r="A104" s="83"/>
      <c r="B104" s="64" t="s">
        <v>205</v>
      </c>
      <c r="C104" s="22" t="s">
        <v>6</v>
      </c>
      <c r="D104" s="5">
        <f>D103-$B$107/4</f>
        <v>-2</v>
      </c>
      <c r="E104" s="6">
        <f>D103</f>
        <v>0</v>
      </c>
      <c r="F104" s="5">
        <f>F103-$B$107/4</f>
        <v>2</v>
      </c>
      <c r="G104" s="5">
        <f>G103-$B$107/4</f>
        <v>4</v>
      </c>
      <c r="H104" s="10">
        <f>H103-$B$107/4</f>
        <v>6</v>
      </c>
      <c r="I104" s="26" t="s">
        <v>132</v>
      </c>
    </row>
    <row r="105" spans="1:9" s="3" customFormat="1" ht="18" customHeight="1">
      <c r="A105" s="83"/>
      <c r="B105" s="64" t="s">
        <v>204</v>
      </c>
      <c r="C105" s="22" t="s">
        <v>7</v>
      </c>
      <c r="D105" s="5">
        <f>D104-$B$107/4</f>
        <v>-4</v>
      </c>
      <c r="E105" s="5">
        <f>E104-$B$107/4</f>
        <v>-2</v>
      </c>
      <c r="F105" s="6">
        <f>D103</f>
        <v>0</v>
      </c>
      <c r="G105" s="5">
        <f>G104-$B$107/4</f>
        <v>2</v>
      </c>
      <c r="H105" s="10">
        <f>H104-$B$107/4</f>
        <v>4</v>
      </c>
      <c r="I105" s="26" t="s">
        <v>133</v>
      </c>
    </row>
    <row r="106" spans="1:9" s="3" customFormat="1" ht="19.5" customHeight="1">
      <c r="A106" s="83"/>
      <c r="B106" s="64" t="s">
        <v>206</v>
      </c>
      <c r="C106" s="22" t="s">
        <v>8</v>
      </c>
      <c r="D106" s="5">
        <f>D105-$B$107/4</f>
        <v>-6</v>
      </c>
      <c r="E106" s="5">
        <f>E105-$B$107/4</f>
        <v>-4</v>
      </c>
      <c r="F106" s="5">
        <f>F105-$B$107/4</f>
        <v>-2</v>
      </c>
      <c r="G106" s="6">
        <f>D103</f>
        <v>0</v>
      </c>
      <c r="H106" s="10">
        <f>H105-$B$107/4</f>
        <v>2</v>
      </c>
      <c r="I106" s="26" t="s">
        <v>134</v>
      </c>
    </row>
    <row r="107" spans="1:9" s="3" customFormat="1" ht="16.8" thickBot="1">
      <c r="A107" s="83"/>
      <c r="B107" s="19">
        <v>8</v>
      </c>
      <c r="C107" s="23" t="s">
        <v>9</v>
      </c>
      <c r="D107" s="11">
        <f>D106-$B$107/4</f>
        <v>-8</v>
      </c>
      <c r="E107" s="11">
        <f>E106-$B$107/4</f>
        <v>-6</v>
      </c>
      <c r="F107" s="11">
        <f>F106-$B$107/4</f>
        <v>-4</v>
      </c>
      <c r="G107" s="11">
        <f>G106-$B$107/4</f>
        <v>-2</v>
      </c>
      <c r="H107" s="9">
        <f>D103</f>
        <v>0</v>
      </c>
      <c r="I107" s="27" t="s">
        <v>135</v>
      </c>
    </row>
    <row r="108" spans="1:9" s="3" customFormat="1" ht="16.5" customHeight="1">
      <c r="A108" s="83"/>
      <c r="B108" s="67" t="s">
        <v>208</v>
      </c>
      <c r="C108" s="20" t="s">
        <v>185</v>
      </c>
      <c r="D108" s="80" t="s">
        <v>5</v>
      </c>
      <c r="E108" s="80" t="s">
        <v>6</v>
      </c>
      <c r="F108" s="80" t="s">
        <v>7</v>
      </c>
      <c r="G108" s="80" t="s">
        <v>8</v>
      </c>
      <c r="H108" s="89" t="s">
        <v>9</v>
      </c>
      <c r="I108" s="103" t="s">
        <v>102</v>
      </c>
    </row>
    <row r="109" spans="1:9" s="3" customFormat="1" ht="15.75" customHeight="1">
      <c r="A109" s="83"/>
      <c r="B109" s="68" t="s">
        <v>211</v>
      </c>
      <c r="C109" s="21" t="s">
        <v>187</v>
      </c>
      <c r="D109" s="81"/>
      <c r="E109" s="81"/>
      <c r="F109" s="81"/>
      <c r="G109" s="81"/>
      <c r="H109" s="90"/>
      <c r="I109" s="104"/>
    </row>
    <row r="110" spans="1:9" s="3" customFormat="1" ht="18.75" customHeight="1">
      <c r="A110" s="83"/>
      <c r="B110" s="68" t="s">
        <v>253</v>
      </c>
      <c r="C110" s="22" t="s">
        <v>5</v>
      </c>
      <c r="D110" s="5">
        <v>0</v>
      </c>
      <c r="E110" s="5">
        <f>D110+$B$114/4</f>
        <v>2</v>
      </c>
      <c r="F110" s="5">
        <f>E110+$B$114/4</f>
        <v>4</v>
      </c>
      <c r="G110" s="5">
        <f>F110+$B$114/4</f>
        <v>6</v>
      </c>
      <c r="H110" s="10">
        <f>G110+$B$114/4</f>
        <v>8</v>
      </c>
      <c r="I110" s="26" t="s">
        <v>131</v>
      </c>
    </row>
    <row r="111" spans="1:9">
      <c r="A111" s="83"/>
      <c r="B111" s="68" t="s">
        <v>210</v>
      </c>
      <c r="C111" s="22" t="s">
        <v>6</v>
      </c>
      <c r="D111" s="5">
        <f>D110-$B$114/4</f>
        <v>-2</v>
      </c>
      <c r="E111" s="5">
        <f>D110</f>
        <v>0</v>
      </c>
      <c r="F111" s="5">
        <f>F110-$B$114/4</f>
        <v>2</v>
      </c>
      <c r="G111" s="5">
        <f>G110-$B$114/4</f>
        <v>4</v>
      </c>
      <c r="H111" s="10">
        <f>H110-$B$114/4</f>
        <v>6</v>
      </c>
      <c r="I111" s="26" t="s">
        <v>132</v>
      </c>
    </row>
    <row r="112" spans="1:9">
      <c r="A112" s="83"/>
      <c r="B112" s="68" t="s">
        <v>209</v>
      </c>
      <c r="C112" s="22" t="s">
        <v>7</v>
      </c>
      <c r="D112" s="5">
        <f>D111-$B$114/4</f>
        <v>-4</v>
      </c>
      <c r="E112" s="5">
        <f>E111-$B$114/4</f>
        <v>-2</v>
      </c>
      <c r="F112" s="5">
        <f>D110</f>
        <v>0</v>
      </c>
      <c r="G112" s="5">
        <f>G111-$B$114/4</f>
        <v>2</v>
      </c>
      <c r="H112" s="10">
        <f>H111-$B$114/4</f>
        <v>4</v>
      </c>
      <c r="I112" s="26" t="s">
        <v>133</v>
      </c>
    </row>
    <row r="113" spans="1:9">
      <c r="A113" s="83"/>
      <c r="B113" s="68" t="s">
        <v>190</v>
      </c>
      <c r="C113" s="22" t="s">
        <v>8</v>
      </c>
      <c r="D113" s="5">
        <f>D112-$B$114/4</f>
        <v>-6</v>
      </c>
      <c r="E113" s="5">
        <f>E112-$B$114/4</f>
        <v>-4</v>
      </c>
      <c r="F113" s="5">
        <f>F112-$B$114/4</f>
        <v>-2</v>
      </c>
      <c r="G113" s="5">
        <f>D110</f>
        <v>0</v>
      </c>
      <c r="H113" s="10">
        <f>H112-$B$114/4</f>
        <v>2</v>
      </c>
      <c r="I113" s="26" t="s">
        <v>134</v>
      </c>
    </row>
    <row r="114" spans="1:9" ht="16.8" thickBot="1">
      <c r="A114" s="83"/>
      <c r="B114" s="19">
        <v>8</v>
      </c>
      <c r="C114" s="23" t="s">
        <v>9</v>
      </c>
      <c r="D114" s="11">
        <f>D113-$B$114/4</f>
        <v>-8</v>
      </c>
      <c r="E114" s="11">
        <f>E113-$B$114/4</f>
        <v>-6</v>
      </c>
      <c r="F114" s="11">
        <f>F113-$B$114/4</f>
        <v>-4</v>
      </c>
      <c r="G114" s="11">
        <f>G113-$B$114/4</f>
        <v>-2</v>
      </c>
      <c r="H114" s="57">
        <f>D110</f>
        <v>0</v>
      </c>
      <c r="I114" s="27" t="s">
        <v>135</v>
      </c>
    </row>
    <row r="115" spans="1:9" ht="26.25" customHeight="1">
      <c r="A115" s="83"/>
      <c r="B115" s="17" t="s">
        <v>14</v>
      </c>
      <c r="C115" s="20" t="s">
        <v>185</v>
      </c>
      <c r="D115" s="80" t="s">
        <v>5</v>
      </c>
      <c r="E115" s="80" t="s">
        <v>6</v>
      </c>
      <c r="F115" s="80" t="s">
        <v>7</v>
      </c>
      <c r="G115" s="80" t="s">
        <v>8</v>
      </c>
      <c r="H115" s="89" t="s">
        <v>9</v>
      </c>
      <c r="I115" s="101" t="s">
        <v>103</v>
      </c>
    </row>
    <row r="116" spans="1:9">
      <c r="A116" s="83"/>
      <c r="B116" s="18" t="s">
        <v>15</v>
      </c>
      <c r="C116" s="21" t="s">
        <v>187</v>
      </c>
      <c r="D116" s="81"/>
      <c r="E116" s="81"/>
      <c r="F116" s="81"/>
      <c r="G116" s="81"/>
      <c r="H116" s="90"/>
      <c r="I116" s="102"/>
    </row>
    <row r="117" spans="1:9">
      <c r="A117" s="83"/>
      <c r="B117" s="18" t="s">
        <v>95</v>
      </c>
      <c r="C117" s="22" t="s">
        <v>5</v>
      </c>
      <c r="D117" s="4">
        <v>0</v>
      </c>
      <c r="E117" s="4">
        <f>D117+$B$121/4</f>
        <v>0.75</v>
      </c>
      <c r="F117" s="4">
        <f>E117+$B$121/4</f>
        <v>1.5</v>
      </c>
      <c r="G117" s="4">
        <f>F117+$B$121/4</f>
        <v>2.25</v>
      </c>
      <c r="H117" s="7">
        <f>G117+$B$121/4</f>
        <v>3</v>
      </c>
      <c r="I117" s="26" t="s">
        <v>130</v>
      </c>
    </row>
    <row r="118" spans="1:9">
      <c r="A118" s="83"/>
      <c r="B118" s="18" t="s">
        <v>96</v>
      </c>
      <c r="C118" s="22" t="s">
        <v>6</v>
      </c>
      <c r="D118" s="4">
        <f>D117-$B$121/4</f>
        <v>-0.75</v>
      </c>
      <c r="E118" s="4">
        <f>D117</f>
        <v>0</v>
      </c>
      <c r="F118" s="4">
        <f>F117-$B$121/4</f>
        <v>0.75</v>
      </c>
      <c r="G118" s="4">
        <f>G117-$B$121/4</f>
        <v>1.5</v>
      </c>
      <c r="H118" s="7">
        <f>H117-$B$121/4</f>
        <v>2.25</v>
      </c>
      <c r="I118" s="26" t="s">
        <v>132</v>
      </c>
    </row>
    <row r="119" spans="1:9">
      <c r="A119" s="83"/>
      <c r="B119" s="18" t="s">
        <v>97</v>
      </c>
      <c r="C119" s="22" t="s">
        <v>7</v>
      </c>
      <c r="D119" s="4">
        <f>D118-$B$121/4</f>
        <v>-1.5</v>
      </c>
      <c r="E119" s="4">
        <f>E118-$B$121/4</f>
        <v>-0.75</v>
      </c>
      <c r="F119" s="4">
        <f>D117</f>
        <v>0</v>
      </c>
      <c r="G119" s="4">
        <f>G118-$B$121/4</f>
        <v>0.75</v>
      </c>
      <c r="H119" s="7">
        <f>H118-$B$121/4</f>
        <v>1.5</v>
      </c>
      <c r="I119" s="26" t="s">
        <v>133</v>
      </c>
    </row>
    <row r="120" spans="1:9">
      <c r="A120" s="83"/>
      <c r="B120" s="18" t="s">
        <v>190</v>
      </c>
      <c r="C120" s="22" t="s">
        <v>8</v>
      </c>
      <c r="D120" s="4">
        <f>D119-$B$121/4</f>
        <v>-2.25</v>
      </c>
      <c r="E120" s="4">
        <f>E119-$B$121/4</f>
        <v>-1.5</v>
      </c>
      <c r="F120" s="4">
        <f>F119-$B$121/4</f>
        <v>-0.75</v>
      </c>
      <c r="G120" s="4">
        <f>D117</f>
        <v>0</v>
      </c>
      <c r="H120" s="7">
        <f>H119-$B$121/4</f>
        <v>0.75</v>
      </c>
      <c r="I120" s="26" t="s">
        <v>134</v>
      </c>
    </row>
    <row r="121" spans="1:9" ht="16.8" thickBot="1">
      <c r="A121" s="83"/>
      <c r="B121" s="19">
        <v>3</v>
      </c>
      <c r="C121" s="23" t="s">
        <v>9</v>
      </c>
      <c r="D121" s="8">
        <f>D120-$B$121/4</f>
        <v>-3</v>
      </c>
      <c r="E121" s="8">
        <f>E120-$B$121/4</f>
        <v>-2.25</v>
      </c>
      <c r="F121" s="8">
        <f>F120-$B$121/4</f>
        <v>-1.5</v>
      </c>
      <c r="G121" s="8">
        <f>G120-$B$121/4</f>
        <v>-0.75</v>
      </c>
      <c r="H121" s="58">
        <f>D117</f>
        <v>0</v>
      </c>
      <c r="I121" s="27" t="s">
        <v>135</v>
      </c>
    </row>
    <row r="122" spans="1:9" ht="22.2" customHeight="1">
      <c r="A122" s="83"/>
      <c r="B122" s="17" t="s">
        <v>98</v>
      </c>
      <c r="C122" s="20" t="s">
        <v>185</v>
      </c>
      <c r="D122" s="80" t="s">
        <v>5</v>
      </c>
      <c r="E122" s="80" t="s">
        <v>6</v>
      </c>
      <c r="F122" s="80" t="s">
        <v>7</v>
      </c>
      <c r="G122" s="80" t="s">
        <v>8</v>
      </c>
      <c r="H122" s="89" t="s">
        <v>9</v>
      </c>
      <c r="I122" s="77" t="s">
        <v>109</v>
      </c>
    </row>
    <row r="123" spans="1:9" ht="19.8" customHeight="1">
      <c r="A123" s="83"/>
      <c r="B123" s="18" t="s">
        <v>99</v>
      </c>
      <c r="C123" s="21" t="s">
        <v>187</v>
      </c>
      <c r="D123" s="81"/>
      <c r="E123" s="81"/>
      <c r="F123" s="81"/>
      <c r="G123" s="81"/>
      <c r="H123" s="90"/>
      <c r="I123" s="78" t="s">
        <v>107</v>
      </c>
    </row>
    <row r="124" spans="1:9">
      <c r="A124" s="83"/>
      <c r="B124" s="18" t="s">
        <v>16</v>
      </c>
      <c r="C124" s="22" t="s">
        <v>5</v>
      </c>
      <c r="D124" s="4">
        <v>0</v>
      </c>
      <c r="E124" s="4">
        <f>D124+$B$128/4</f>
        <v>2.5</v>
      </c>
      <c r="F124" s="4">
        <f>E124+$B$128/4</f>
        <v>5</v>
      </c>
      <c r="G124" s="4">
        <f>F124+$B$128/4</f>
        <v>7.5</v>
      </c>
      <c r="H124" s="7">
        <f>G124+$B$128/4</f>
        <v>10</v>
      </c>
      <c r="I124" s="78" t="s">
        <v>105</v>
      </c>
    </row>
    <row r="125" spans="1:9">
      <c r="A125" s="83"/>
      <c r="B125" s="18" t="s">
        <v>100</v>
      </c>
      <c r="C125" s="22" t="s">
        <v>6</v>
      </c>
      <c r="D125" s="4">
        <f>D124-$B$128/4</f>
        <v>-2.5</v>
      </c>
      <c r="E125" s="4">
        <f>D124</f>
        <v>0</v>
      </c>
      <c r="F125" s="4">
        <f>F124-$B$128/4</f>
        <v>2.5</v>
      </c>
      <c r="G125" s="4">
        <f>G124-$B$128/4</f>
        <v>5</v>
      </c>
      <c r="H125" s="7">
        <f>H124-$B$128/4</f>
        <v>7.5</v>
      </c>
      <c r="I125" s="78" t="s">
        <v>106</v>
      </c>
    </row>
    <row r="126" spans="1:9">
      <c r="A126" s="83"/>
      <c r="B126" s="18" t="s">
        <v>49</v>
      </c>
      <c r="C126" s="22" t="s">
        <v>7</v>
      </c>
      <c r="D126" s="4">
        <f>D125-$B$128/4</f>
        <v>-5</v>
      </c>
      <c r="E126" s="4">
        <f>E125-$B$128/4</f>
        <v>-2.5</v>
      </c>
      <c r="F126" s="4">
        <f>D124</f>
        <v>0</v>
      </c>
      <c r="G126" s="4">
        <f>G125-$B$128/4</f>
        <v>2.5</v>
      </c>
      <c r="H126" s="7">
        <f>H125-$B$128/4</f>
        <v>5</v>
      </c>
      <c r="I126" s="78" t="s">
        <v>108</v>
      </c>
    </row>
    <row r="127" spans="1:9">
      <c r="A127" s="83"/>
      <c r="B127" s="18"/>
      <c r="C127" s="22" t="s">
        <v>8</v>
      </c>
      <c r="D127" s="4">
        <f>D126-$B$128/4</f>
        <v>-7.5</v>
      </c>
      <c r="E127" s="4">
        <f>E126-$B$128/4</f>
        <v>-5</v>
      </c>
      <c r="F127" s="4">
        <f>F126-$B$128/4</f>
        <v>-2.5</v>
      </c>
      <c r="G127" s="4">
        <f>D124</f>
        <v>0</v>
      </c>
      <c r="H127" s="7">
        <f>H126-$B$128/4</f>
        <v>2.5</v>
      </c>
      <c r="I127" s="78" t="s">
        <v>150</v>
      </c>
    </row>
    <row r="128" spans="1:9" ht="16.8" thickBot="1">
      <c r="A128" s="83"/>
      <c r="B128" s="62">
        <v>10</v>
      </c>
      <c r="C128" s="23" t="s">
        <v>9</v>
      </c>
      <c r="D128" s="8">
        <f>D127-$B$128/4</f>
        <v>-10</v>
      </c>
      <c r="E128" s="8">
        <f>E127-$B$128/4</f>
        <v>-7.5</v>
      </c>
      <c r="F128" s="8">
        <f>F127-$B$128/4</f>
        <v>-5</v>
      </c>
      <c r="G128" s="8">
        <f>G127-$B$128/4</f>
        <v>-2.5</v>
      </c>
      <c r="H128" s="58">
        <f>D124</f>
        <v>0</v>
      </c>
      <c r="I128" s="28"/>
    </row>
    <row r="129" spans="1:9" ht="25.05" customHeight="1" thickTop="1">
      <c r="A129" s="82" t="s">
        <v>101</v>
      </c>
      <c r="B129" s="65" t="s">
        <v>212</v>
      </c>
      <c r="C129" s="20" t="s">
        <v>185</v>
      </c>
      <c r="D129" s="80" t="s">
        <v>5</v>
      </c>
      <c r="E129" s="80" t="s">
        <v>6</v>
      </c>
      <c r="F129" s="80" t="s">
        <v>7</v>
      </c>
      <c r="G129" s="80" t="s">
        <v>8</v>
      </c>
      <c r="H129" s="89" t="s">
        <v>9</v>
      </c>
      <c r="I129" s="91" t="s">
        <v>234</v>
      </c>
    </row>
    <row r="130" spans="1:9" ht="25.05" customHeight="1">
      <c r="A130" s="83"/>
      <c r="B130" s="66" t="s">
        <v>213</v>
      </c>
      <c r="C130" s="21" t="s">
        <v>187</v>
      </c>
      <c r="D130" s="81"/>
      <c r="E130" s="81"/>
      <c r="F130" s="81"/>
      <c r="G130" s="81"/>
      <c r="H130" s="90"/>
      <c r="I130" s="92"/>
    </row>
    <row r="131" spans="1:9" ht="25.05" customHeight="1">
      <c r="A131" s="83"/>
      <c r="B131" s="66" t="s">
        <v>214</v>
      </c>
      <c r="C131" s="22" t="s">
        <v>5</v>
      </c>
      <c r="D131" s="4">
        <v>0</v>
      </c>
      <c r="E131" s="4">
        <f>D131+$B$135/4</f>
        <v>2</v>
      </c>
      <c r="F131" s="4">
        <f>E131+$B$135/4</f>
        <v>4</v>
      </c>
      <c r="G131" s="4">
        <f>F131+$B$135/4</f>
        <v>6</v>
      </c>
      <c r="H131" s="7">
        <f>G131+$B$135/4</f>
        <v>8</v>
      </c>
      <c r="I131" s="14" t="s">
        <v>181</v>
      </c>
    </row>
    <row r="132" spans="1:9" ht="25.05" customHeight="1">
      <c r="A132" s="83"/>
      <c r="B132" s="66" t="s">
        <v>215</v>
      </c>
      <c r="C132" s="22" t="s">
        <v>6</v>
      </c>
      <c r="D132" s="4">
        <f>D131-$B$135/4</f>
        <v>-2</v>
      </c>
      <c r="E132" s="4">
        <f>D131</f>
        <v>0</v>
      </c>
      <c r="F132" s="4">
        <f>F131-$B$135/4</f>
        <v>2</v>
      </c>
      <c r="G132" s="4">
        <f>G131-$B$135/4</f>
        <v>4</v>
      </c>
      <c r="H132" s="7">
        <f>H131-$B$135/4</f>
        <v>6</v>
      </c>
      <c r="I132" s="14" t="s">
        <v>182</v>
      </c>
    </row>
    <row r="133" spans="1:9" ht="25.05" customHeight="1">
      <c r="A133" s="83"/>
      <c r="B133" s="66" t="s">
        <v>216</v>
      </c>
      <c r="C133" s="22" t="s">
        <v>7</v>
      </c>
      <c r="D133" s="4">
        <f>D132-$B$135/4</f>
        <v>-4</v>
      </c>
      <c r="E133" s="4">
        <f>E132-$B$135/4</f>
        <v>-2</v>
      </c>
      <c r="F133" s="4">
        <f>D131</f>
        <v>0</v>
      </c>
      <c r="G133" s="4">
        <f>G132-$B$135/4</f>
        <v>2</v>
      </c>
      <c r="H133" s="7">
        <f>H132-$B$135/4</f>
        <v>4</v>
      </c>
      <c r="I133" s="14" t="s">
        <v>183</v>
      </c>
    </row>
    <row r="134" spans="1:9" ht="25.05" customHeight="1">
      <c r="A134" s="83"/>
      <c r="B134" s="66" t="s">
        <v>217</v>
      </c>
      <c r="C134" s="22" t="s">
        <v>8</v>
      </c>
      <c r="D134" s="4">
        <f>D133-$B$135/4</f>
        <v>-6</v>
      </c>
      <c r="E134" s="4">
        <f>E133-$B$135/4</f>
        <v>-4</v>
      </c>
      <c r="F134" s="4">
        <f>F133-$B$135/4</f>
        <v>-2</v>
      </c>
      <c r="G134" s="4">
        <f>D131</f>
        <v>0</v>
      </c>
      <c r="H134" s="7">
        <f>H133-$B$135/4</f>
        <v>2</v>
      </c>
      <c r="I134" s="14" t="s">
        <v>184</v>
      </c>
    </row>
    <row r="135" spans="1:9" ht="25.05" customHeight="1" thickBot="1">
      <c r="A135" s="83"/>
      <c r="B135" s="62">
        <v>8</v>
      </c>
      <c r="C135" s="23" t="s">
        <v>9</v>
      </c>
      <c r="D135" s="8">
        <f>D134-$B$135/4</f>
        <v>-8</v>
      </c>
      <c r="E135" s="8">
        <f>E134-$B$135/4</f>
        <v>-6</v>
      </c>
      <c r="F135" s="8">
        <f>F134-$B$135/4</f>
        <v>-4</v>
      </c>
      <c r="G135" s="8">
        <f>G134-$B$135/4</f>
        <v>-2</v>
      </c>
      <c r="H135" s="58">
        <f>D131</f>
        <v>0</v>
      </c>
      <c r="I135" s="15" t="s">
        <v>117</v>
      </c>
    </row>
    <row r="136" spans="1:9" ht="25.05" customHeight="1">
      <c r="A136" s="83"/>
      <c r="B136" s="17" t="s">
        <v>227</v>
      </c>
      <c r="C136" s="20" t="s">
        <v>185</v>
      </c>
      <c r="D136" s="99" t="s">
        <v>5</v>
      </c>
      <c r="E136" s="80" t="s">
        <v>6</v>
      </c>
      <c r="F136" s="80" t="s">
        <v>7</v>
      </c>
      <c r="G136" s="80" t="s">
        <v>8</v>
      </c>
      <c r="H136" s="89" t="s">
        <v>9</v>
      </c>
      <c r="I136" s="91" t="s">
        <v>234</v>
      </c>
    </row>
    <row r="137" spans="1:9" ht="25.05" customHeight="1">
      <c r="A137" s="83"/>
      <c r="B137" s="18" t="s">
        <v>97</v>
      </c>
      <c r="C137" s="51" t="s">
        <v>187</v>
      </c>
      <c r="D137" s="100"/>
      <c r="E137" s="81"/>
      <c r="F137" s="81"/>
      <c r="G137" s="81"/>
      <c r="H137" s="90"/>
      <c r="I137" s="92"/>
    </row>
    <row r="138" spans="1:9" ht="25.05" customHeight="1">
      <c r="A138" s="83"/>
      <c r="B138" s="18" t="s">
        <v>61</v>
      </c>
      <c r="C138" s="52" t="s">
        <v>5</v>
      </c>
      <c r="D138" s="54">
        <v>0</v>
      </c>
      <c r="E138" s="5">
        <f t="shared" ref="E138:G139" si="16">D138+$B$142/4</f>
        <v>2</v>
      </c>
      <c r="F138" s="5">
        <f t="shared" si="16"/>
        <v>4</v>
      </c>
      <c r="G138" s="5">
        <f t="shared" si="16"/>
        <v>6</v>
      </c>
      <c r="H138" s="10">
        <f>G138+$B$142/4</f>
        <v>8</v>
      </c>
      <c r="I138" s="14" t="s">
        <v>113</v>
      </c>
    </row>
    <row r="139" spans="1:9" ht="25.05" customHeight="1">
      <c r="A139" s="83"/>
      <c r="B139" s="18" t="s">
        <v>226</v>
      </c>
      <c r="C139" s="52" t="s">
        <v>6</v>
      </c>
      <c r="D139" s="55">
        <f>D138-$B$142/4</f>
        <v>-2</v>
      </c>
      <c r="E139" s="6">
        <f>D138</f>
        <v>0</v>
      </c>
      <c r="F139" s="5">
        <f t="shared" si="16"/>
        <v>2</v>
      </c>
      <c r="G139" s="5">
        <f>F139+$B$142/4</f>
        <v>4</v>
      </c>
      <c r="H139" s="10">
        <f>G139+$B$142/4</f>
        <v>6</v>
      </c>
      <c r="I139" s="14" t="s">
        <v>114</v>
      </c>
    </row>
    <row r="140" spans="1:9" ht="25.05" customHeight="1">
      <c r="A140" s="83"/>
      <c r="B140" s="18" t="s">
        <v>228</v>
      </c>
      <c r="C140" s="52" t="s">
        <v>7</v>
      </c>
      <c r="D140" s="55">
        <f>D139-$B$142/4</f>
        <v>-4</v>
      </c>
      <c r="E140" s="5">
        <f t="shared" ref="E140:G142" si="17">E139-$B$142/4</f>
        <v>-2</v>
      </c>
      <c r="F140" s="6">
        <f>D138</f>
        <v>0</v>
      </c>
      <c r="G140" s="5">
        <f>F140+$B$142/4</f>
        <v>2</v>
      </c>
      <c r="H140" s="10">
        <f>G140+$B$142/4</f>
        <v>4</v>
      </c>
      <c r="I140" s="14" t="s">
        <v>115</v>
      </c>
    </row>
    <row r="141" spans="1:9" ht="25.05" customHeight="1">
      <c r="A141" s="83"/>
      <c r="B141" s="18"/>
      <c r="C141" s="52" t="s">
        <v>8</v>
      </c>
      <c r="D141" s="55">
        <f>D140-$B$142/4</f>
        <v>-6</v>
      </c>
      <c r="E141" s="5">
        <f t="shared" si="17"/>
        <v>-4</v>
      </c>
      <c r="F141" s="5">
        <f t="shared" si="17"/>
        <v>-2</v>
      </c>
      <c r="G141" s="6">
        <f>D138</f>
        <v>0</v>
      </c>
      <c r="H141" s="10">
        <f>G141+$B$142/4</f>
        <v>2</v>
      </c>
      <c r="I141" s="14" t="s">
        <v>116</v>
      </c>
    </row>
    <row r="142" spans="1:9" ht="25.05" customHeight="1" thickBot="1">
      <c r="A142" s="83"/>
      <c r="B142" s="62">
        <v>8</v>
      </c>
      <c r="C142" s="53" t="s">
        <v>9</v>
      </c>
      <c r="D142" s="56">
        <f>D141-$B$142/4</f>
        <v>-8</v>
      </c>
      <c r="E142" s="11">
        <f t="shared" si="17"/>
        <v>-6</v>
      </c>
      <c r="F142" s="11">
        <f t="shared" si="17"/>
        <v>-4</v>
      </c>
      <c r="G142" s="11">
        <f t="shared" si="17"/>
        <v>-2</v>
      </c>
      <c r="H142" s="9">
        <f>D138</f>
        <v>0</v>
      </c>
      <c r="I142" s="15" t="s">
        <v>117</v>
      </c>
    </row>
    <row r="143" spans="1:9" ht="25.05" customHeight="1">
      <c r="A143" s="83"/>
      <c r="B143" s="17" t="s">
        <v>229</v>
      </c>
      <c r="C143" s="20" t="s">
        <v>185</v>
      </c>
      <c r="D143" s="97" t="s">
        <v>5</v>
      </c>
      <c r="E143" s="97" t="s">
        <v>6</v>
      </c>
      <c r="F143" s="97" t="s">
        <v>7</v>
      </c>
      <c r="G143" s="97" t="s">
        <v>8</v>
      </c>
      <c r="H143" s="98" t="s">
        <v>9</v>
      </c>
      <c r="I143" s="91" t="s">
        <v>234</v>
      </c>
    </row>
    <row r="144" spans="1:9" ht="25.05" customHeight="1">
      <c r="A144" s="83"/>
      <c r="B144" s="18" t="s">
        <v>230</v>
      </c>
      <c r="C144" s="21" t="s">
        <v>187</v>
      </c>
      <c r="D144" s="81"/>
      <c r="E144" s="81"/>
      <c r="F144" s="81"/>
      <c r="G144" s="81"/>
      <c r="H144" s="90"/>
      <c r="I144" s="92"/>
    </row>
    <row r="145" spans="1:10" ht="25.05" customHeight="1">
      <c r="A145" s="83"/>
      <c r="B145" s="18" t="s">
        <v>231</v>
      </c>
      <c r="C145" s="22" t="s">
        <v>5</v>
      </c>
      <c r="D145" s="6">
        <v>0</v>
      </c>
      <c r="E145" s="5">
        <f t="shared" ref="E145:G146" si="18">D145+$B$149/4</f>
        <v>2</v>
      </c>
      <c r="F145" s="5">
        <f t="shared" si="18"/>
        <v>4</v>
      </c>
      <c r="G145" s="5">
        <f t="shared" si="18"/>
        <v>6</v>
      </c>
      <c r="H145" s="10">
        <f>G145+$B$149/4</f>
        <v>8</v>
      </c>
      <c r="I145" s="14" t="s">
        <v>113</v>
      </c>
    </row>
    <row r="146" spans="1:10" ht="25.05" customHeight="1">
      <c r="A146" s="83"/>
      <c r="B146" s="18" t="s">
        <v>232</v>
      </c>
      <c r="C146" s="22" t="s">
        <v>6</v>
      </c>
      <c r="D146" s="5">
        <f>D145-$B$149/4</f>
        <v>-2</v>
      </c>
      <c r="E146" s="6">
        <f>D145</f>
        <v>0</v>
      </c>
      <c r="F146" s="5">
        <f t="shared" si="18"/>
        <v>2</v>
      </c>
      <c r="G146" s="5">
        <f>F146+$B$149/4</f>
        <v>4</v>
      </c>
      <c r="H146" s="10">
        <f>G146+$B$149/4</f>
        <v>6</v>
      </c>
      <c r="I146" s="14" t="s">
        <v>114</v>
      </c>
    </row>
    <row r="147" spans="1:10" ht="25.05" customHeight="1">
      <c r="A147" s="83"/>
      <c r="B147" s="18" t="s">
        <v>19</v>
      </c>
      <c r="C147" s="22" t="s">
        <v>7</v>
      </c>
      <c r="D147" s="5">
        <f>D146-$B$149/4</f>
        <v>-4</v>
      </c>
      <c r="E147" s="5">
        <f t="shared" ref="E147:G149" si="19">E146-$B$149/4</f>
        <v>-2</v>
      </c>
      <c r="F147" s="6">
        <f>D145</f>
        <v>0</v>
      </c>
      <c r="G147" s="5">
        <f>F147+$B$149/4</f>
        <v>2</v>
      </c>
      <c r="H147" s="10">
        <f>G147+$B$149/4</f>
        <v>4</v>
      </c>
      <c r="I147" s="14" t="s">
        <v>115</v>
      </c>
    </row>
    <row r="148" spans="1:10" ht="25.05" customHeight="1">
      <c r="A148" s="83"/>
      <c r="B148" s="18" t="s">
        <v>49</v>
      </c>
      <c r="C148" s="22" t="s">
        <v>8</v>
      </c>
      <c r="D148" s="5">
        <f>D147-$B$149/4</f>
        <v>-6</v>
      </c>
      <c r="E148" s="5">
        <f t="shared" si="19"/>
        <v>-4</v>
      </c>
      <c r="F148" s="5">
        <f t="shared" si="19"/>
        <v>-2</v>
      </c>
      <c r="G148" s="6">
        <f>D145</f>
        <v>0</v>
      </c>
      <c r="H148" s="10">
        <f>G148+$B$149/4</f>
        <v>2</v>
      </c>
      <c r="I148" s="14" t="s">
        <v>116</v>
      </c>
    </row>
    <row r="149" spans="1:10" ht="25.05" customHeight="1" thickBot="1">
      <c r="A149" s="85"/>
      <c r="B149" s="62">
        <v>8</v>
      </c>
      <c r="C149" s="41" t="s">
        <v>9</v>
      </c>
      <c r="D149" s="49">
        <f>D148-$B$149/4</f>
        <v>-8</v>
      </c>
      <c r="E149" s="49">
        <f t="shared" si="19"/>
        <v>-6</v>
      </c>
      <c r="F149" s="49">
        <f t="shared" si="19"/>
        <v>-4</v>
      </c>
      <c r="G149" s="49">
        <f t="shared" si="19"/>
        <v>-2</v>
      </c>
      <c r="H149" s="44">
        <f>D145</f>
        <v>0</v>
      </c>
      <c r="I149" s="15" t="s">
        <v>117</v>
      </c>
    </row>
    <row r="150" spans="1:10" s="48" customFormat="1" ht="25.05" customHeight="1" thickTop="1">
      <c r="A150" s="83" t="s">
        <v>259</v>
      </c>
      <c r="B150" s="68" t="s">
        <v>260</v>
      </c>
      <c r="C150" s="20" t="s">
        <v>186</v>
      </c>
      <c r="D150" s="80" t="s">
        <v>5</v>
      </c>
      <c r="E150" s="80" t="s">
        <v>6</v>
      </c>
      <c r="F150" s="80" t="s">
        <v>7</v>
      </c>
      <c r="G150" s="80" t="s">
        <v>8</v>
      </c>
      <c r="H150" s="89" t="s">
        <v>9</v>
      </c>
      <c r="I150" s="91" t="s">
        <v>258</v>
      </c>
    </row>
    <row r="151" spans="1:10" s="48" customFormat="1" ht="25.05" customHeight="1">
      <c r="A151" s="83"/>
      <c r="B151" s="68" t="s">
        <v>261</v>
      </c>
      <c r="C151" s="21" t="s">
        <v>218</v>
      </c>
      <c r="D151" s="81"/>
      <c r="E151" s="81"/>
      <c r="F151" s="81"/>
      <c r="G151" s="81"/>
      <c r="H151" s="90"/>
      <c r="I151" s="92"/>
    </row>
    <row r="152" spans="1:10" s="48" customFormat="1" ht="25.05" customHeight="1">
      <c r="A152" s="83"/>
      <c r="B152" s="68" t="s">
        <v>262</v>
      </c>
      <c r="C152" s="22" t="s">
        <v>5</v>
      </c>
      <c r="D152" s="5">
        <v>0</v>
      </c>
      <c r="E152" s="5">
        <f>D152+$B$156/4</f>
        <v>1.5</v>
      </c>
      <c r="F152" s="5">
        <f>E152+$B$156/4</f>
        <v>3</v>
      </c>
      <c r="G152" s="5">
        <f>F152+$B$156/4</f>
        <v>4.5</v>
      </c>
      <c r="H152" s="10">
        <f>G152+$B$156/4</f>
        <v>6</v>
      </c>
      <c r="I152" s="14" t="s">
        <v>219</v>
      </c>
    </row>
    <row r="153" spans="1:10" s="48" customFormat="1" ht="25.05" customHeight="1">
      <c r="A153" s="83"/>
      <c r="B153" s="68" t="s">
        <v>263</v>
      </c>
      <c r="C153" s="22" t="s">
        <v>6</v>
      </c>
      <c r="D153" s="5">
        <f>D152-$B$156/4</f>
        <v>-1.5</v>
      </c>
      <c r="E153" s="5">
        <f>D152</f>
        <v>0</v>
      </c>
      <c r="F153" s="5">
        <f>F152-$B$156/4</f>
        <v>1.5</v>
      </c>
      <c r="G153" s="5">
        <f>G152-$B$156/4</f>
        <v>3</v>
      </c>
      <c r="H153" s="10">
        <f>H152-$B$156/4</f>
        <v>4.5</v>
      </c>
      <c r="I153" s="14" t="s">
        <v>220</v>
      </c>
    </row>
    <row r="154" spans="1:10" s="48" customFormat="1" ht="25.05" customHeight="1">
      <c r="A154" s="83"/>
      <c r="B154" s="68" t="s">
        <v>221</v>
      </c>
      <c r="C154" s="22" t="s">
        <v>7</v>
      </c>
      <c r="D154" s="5">
        <f>D153-$B$156/4</f>
        <v>-3</v>
      </c>
      <c r="E154" s="5">
        <f>E153-$B$156/4</f>
        <v>-1.5</v>
      </c>
      <c r="F154" s="5">
        <f>D152</f>
        <v>0</v>
      </c>
      <c r="G154" s="5">
        <f>G153-$B$156/4</f>
        <v>1.5</v>
      </c>
      <c r="H154" s="10">
        <f>H153-$B$156/4</f>
        <v>3</v>
      </c>
      <c r="I154" s="14" t="s">
        <v>222</v>
      </c>
    </row>
    <row r="155" spans="1:10" s="48" customFormat="1" ht="25.05" customHeight="1">
      <c r="A155" s="83"/>
      <c r="B155" s="68" t="s">
        <v>223</v>
      </c>
      <c r="C155" s="22" t="s">
        <v>8</v>
      </c>
      <c r="D155" s="5">
        <f>D154-$B$156/4</f>
        <v>-4.5</v>
      </c>
      <c r="E155" s="5">
        <f>E154-$B$156/4</f>
        <v>-3</v>
      </c>
      <c r="F155" s="5">
        <f>F154-$B$156/4</f>
        <v>-1.5</v>
      </c>
      <c r="G155" s="5">
        <f>D152</f>
        <v>0</v>
      </c>
      <c r="H155" s="10">
        <f>H154-$B$156/4</f>
        <v>1.5</v>
      </c>
      <c r="I155" s="14" t="s">
        <v>224</v>
      </c>
      <c r="J155" s="75" t="s">
        <v>257</v>
      </c>
    </row>
    <row r="156" spans="1:10" s="48" customFormat="1" ht="25.05" customHeight="1" thickBot="1">
      <c r="A156" s="85"/>
      <c r="B156" s="69">
        <v>6</v>
      </c>
      <c r="C156" s="23" t="s">
        <v>9</v>
      </c>
      <c r="D156" s="11">
        <f>D155-$B$156/4</f>
        <v>-6</v>
      </c>
      <c r="E156" s="11">
        <f>E155-$B$156/4</f>
        <v>-4.5</v>
      </c>
      <c r="F156" s="11">
        <f>F155-$B$156/4</f>
        <v>-3</v>
      </c>
      <c r="G156" s="11">
        <f>G155-$B$156/4</f>
        <v>-1.5</v>
      </c>
      <c r="H156" s="57">
        <f>D152</f>
        <v>0</v>
      </c>
      <c r="I156" s="28" t="s">
        <v>225</v>
      </c>
    </row>
    <row r="157" spans="1:10" ht="25.05" customHeight="1" thickTop="1">
      <c r="A157" s="82"/>
      <c r="B157" s="17" t="s">
        <v>136</v>
      </c>
      <c r="C157" s="20" t="s">
        <v>185</v>
      </c>
      <c r="D157" s="80" t="s">
        <v>5</v>
      </c>
      <c r="E157" s="80" t="s">
        <v>6</v>
      </c>
      <c r="F157" s="80" t="s">
        <v>7</v>
      </c>
      <c r="G157" s="80" t="s">
        <v>8</v>
      </c>
      <c r="H157" s="89" t="s">
        <v>9</v>
      </c>
      <c r="I157" s="93" t="s">
        <v>235</v>
      </c>
    </row>
    <row r="158" spans="1:10" ht="25.05" customHeight="1">
      <c r="A158" s="83"/>
      <c r="B158" s="18" t="s">
        <v>137</v>
      </c>
      <c r="C158" s="21" t="s">
        <v>187</v>
      </c>
      <c r="D158" s="81"/>
      <c r="E158" s="81"/>
      <c r="F158" s="81"/>
      <c r="G158" s="81"/>
      <c r="H158" s="90"/>
      <c r="I158" s="94"/>
    </row>
    <row r="159" spans="1:10" ht="25.05" customHeight="1">
      <c r="A159" s="83"/>
      <c r="B159" s="18" t="s">
        <v>61</v>
      </c>
      <c r="C159" s="22" t="s">
        <v>5</v>
      </c>
      <c r="D159" s="4">
        <v>0</v>
      </c>
      <c r="E159" s="4">
        <f t="shared" ref="E159:H162" si="20">D159+$B$163/4</f>
        <v>2</v>
      </c>
      <c r="F159" s="4">
        <f t="shared" si="20"/>
        <v>4</v>
      </c>
      <c r="G159" s="4">
        <f t="shared" si="20"/>
        <v>6</v>
      </c>
      <c r="H159" s="7">
        <f>G159+$B$163/4</f>
        <v>8</v>
      </c>
      <c r="I159" s="71" t="s">
        <v>130</v>
      </c>
    </row>
    <row r="160" spans="1:10" ht="25.05" customHeight="1">
      <c r="A160" s="83"/>
      <c r="B160" s="18" t="s">
        <v>191</v>
      </c>
      <c r="C160" s="22" t="s">
        <v>6</v>
      </c>
      <c r="D160" s="4">
        <f t="shared" ref="D160:G163" si="21">D159-$B$163/4</f>
        <v>-2</v>
      </c>
      <c r="E160" s="4">
        <f>D159</f>
        <v>0</v>
      </c>
      <c r="F160" s="4">
        <f t="shared" si="20"/>
        <v>2</v>
      </c>
      <c r="G160" s="4">
        <f t="shared" si="20"/>
        <v>4</v>
      </c>
      <c r="H160" s="7">
        <f t="shared" si="20"/>
        <v>6</v>
      </c>
      <c r="I160" s="71" t="s">
        <v>239</v>
      </c>
    </row>
    <row r="161" spans="1:9" ht="25.05" customHeight="1">
      <c r="A161" s="83"/>
      <c r="B161" s="18" t="s">
        <v>192</v>
      </c>
      <c r="C161" s="22" t="s">
        <v>7</v>
      </c>
      <c r="D161" s="4">
        <f t="shared" si="21"/>
        <v>-4</v>
      </c>
      <c r="E161" s="4">
        <f t="shared" si="21"/>
        <v>-2</v>
      </c>
      <c r="F161" s="4">
        <f>D159</f>
        <v>0</v>
      </c>
      <c r="G161" s="4">
        <f t="shared" si="20"/>
        <v>2</v>
      </c>
      <c r="H161" s="7">
        <f t="shared" si="20"/>
        <v>4</v>
      </c>
      <c r="I161" s="71" t="s">
        <v>240</v>
      </c>
    </row>
    <row r="162" spans="1:9" ht="25.05" customHeight="1">
      <c r="A162" s="83"/>
      <c r="B162" s="47" t="s">
        <v>49</v>
      </c>
      <c r="C162" s="22" t="s">
        <v>8</v>
      </c>
      <c r="D162" s="4">
        <f t="shared" si="21"/>
        <v>-6</v>
      </c>
      <c r="E162" s="4">
        <f t="shared" si="21"/>
        <v>-4</v>
      </c>
      <c r="F162" s="4">
        <f t="shared" si="21"/>
        <v>-2</v>
      </c>
      <c r="G162" s="4">
        <f>D159</f>
        <v>0</v>
      </c>
      <c r="H162" s="7">
        <f t="shared" si="20"/>
        <v>2</v>
      </c>
      <c r="I162" s="71" t="s">
        <v>241</v>
      </c>
    </row>
    <row r="163" spans="1:9" ht="25.05" customHeight="1" thickBot="1">
      <c r="A163" s="83"/>
      <c r="B163" s="62">
        <v>8</v>
      </c>
      <c r="C163" s="41" t="s">
        <v>9</v>
      </c>
      <c r="D163" s="43">
        <f>D162-$B$163/4</f>
        <v>-8</v>
      </c>
      <c r="E163" s="43">
        <f t="shared" si="21"/>
        <v>-6</v>
      </c>
      <c r="F163" s="43">
        <f t="shared" si="21"/>
        <v>-4</v>
      </c>
      <c r="G163" s="43">
        <f t="shared" si="21"/>
        <v>-2</v>
      </c>
      <c r="H163" s="60">
        <f>D159</f>
        <v>0</v>
      </c>
      <c r="I163" s="72" t="s">
        <v>242</v>
      </c>
    </row>
    <row r="164" spans="1:9" ht="25.05" customHeight="1">
      <c r="A164" s="83" t="s">
        <v>119</v>
      </c>
      <c r="B164" s="17" t="s">
        <v>139</v>
      </c>
      <c r="C164" s="20" t="s">
        <v>185</v>
      </c>
      <c r="D164" s="80" t="s">
        <v>5</v>
      </c>
      <c r="E164" s="80" t="s">
        <v>6</v>
      </c>
      <c r="F164" s="80" t="s">
        <v>7</v>
      </c>
      <c r="G164" s="80" t="s">
        <v>8</v>
      </c>
      <c r="H164" s="89" t="s">
        <v>9</v>
      </c>
      <c r="I164" s="93" t="s">
        <v>236</v>
      </c>
    </row>
    <row r="165" spans="1:9" ht="25.05" customHeight="1">
      <c r="A165" s="83"/>
      <c r="B165" s="18" t="s">
        <v>140</v>
      </c>
      <c r="C165" s="21" t="s">
        <v>187</v>
      </c>
      <c r="D165" s="81"/>
      <c r="E165" s="81"/>
      <c r="F165" s="81"/>
      <c r="G165" s="81"/>
      <c r="H165" s="90"/>
      <c r="I165" s="94"/>
    </row>
    <row r="166" spans="1:9" ht="25.05" customHeight="1">
      <c r="A166" s="83"/>
      <c r="B166" s="18" t="s">
        <v>61</v>
      </c>
      <c r="C166" s="22" t="s">
        <v>5</v>
      </c>
      <c r="D166" s="6">
        <v>0</v>
      </c>
      <c r="E166" s="5">
        <f t="shared" ref="E166:G167" si="22">D166+$B$170/4</f>
        <v>1</v>
      </c>
      <c r="F166" s="5">
        <f t="shared" si="22"/>
        <v>2</v>
      </c>
      <c r="G166" s="5">
        <f t="shared" si="22"/>
        <v>3</v>
      </c>
      <c r="H166" s="10">
        <f>G166+$B$170/4</f>
        <v>4</v>
      </c>
      <c r="I166" s="71" t="s">
        <v>130</v>
      </c>
    </row>
    <row r="167" spans="1:9" ht="25.05" customHeight="1">
      <c r="A167" s="83"/>
      <c r="B167" s="18" t="s">
        <v>191</v>
      </c>
      <c r="C167" s="22" t="s">
        <v>6</v>
      </c>
      <c r="D167" s="5">
        <f>D166-$B$170/4</f>
        <v>-1</v>
      </c>
      <c r="E167" s="6">
        <f>D166</f>
        <v>0</v>
      </c>
      <c r="F167" s="5">
        <f t="shared" si="22"/>
        <v>1</v>
      </c>
      <c r="G167" s="5">
        <f>F167+$B$170/4</f>
        <v>2</v>
      </c>
      <c r="H167" s="10">
        <f>G167+$B$170/4</f>
        <v>3</v>
      </c>
      <c r="I167" s="71" t="s">
        <v>239</v>
      </c>
    </row>
    <row r="168" spans="1:9" ht="25.05" customHeight="1">
      <c r="A168" s="83"/>
      <c r="B168" s="18" t="s">
        <v>192</v>
      </c>
      <c r="C168" s="22" t="s">
        <v>7</v>
      </c>
      <c r="D168" s="5">
        <f>D167-$B$170/4</f>
        <v>-2</v>
      </c>
      <c r="E168" s="5">
        <f t="shared" ref="E168:G170" si="23">E167-$B$170/4</f>
        <v>-1</v>
      </c>
      <c r="F168" s="6">
        <f>D166</f>
        <v>0</v>
      </c>
      <c r="G168" s="5">
        <f>F168+$B$170/4</f>
        <v>1</v>
      </c>
      <c r="H168" s="10">
        <f>G168+$B$170/4</f>
        <v>2</v>
      </c>
      <c r="I168" s="71" t="s">
        <v>240</v>
      </c>
    </row>
    <row r="169" spans="1:9" ht="25.05" customHeight="1">
      <c r="A169" s="83"/>
      <c r="B169" s="47" t="s">
        <v>138</v>
      </c>
      <c r="C169" s="22" t="s">
        <v>8</v>
      </c>
      <c r="D169" s="5">
        <f>D168-$B$170/4</f>
        <v>-3</v>
      </c>
      <c r="E169" s="5">
        <f t="shared" si="23"/>
        <v>-2</v>
      </c>
      <c r="F169" s="5">
        <f t="shared" si="23"/>
        <v>-1</v>
      </c>
      <c r="G169" s="6">
        <f>D166</f>
        <v>0</v>
      </c>
      <c r="H169" s="10">
        <f>G169+$B$170/4</f>
        <v>1</v>
      </c>
      <c r="I169" s="71" t="s">
        <v>241</v>
      </c>
    </row>
    <row r="170" spans="1:9" ht="25.05" customHeight="1" thickBot="1">
      <c r="A170" s="83"/>
      <c r="B170" s="19">
        <v>4</v>
      </c>
      <c r="C170" s="41" t="s">
        <v>9</v>
      </c>
      <c r="D170" s="49">
        <f>D169-$B$170/4</f>
        <v>-4</v>
      </c>
      <c r="E170" s="49">
        <f t="shared" si="23"/>
        <v>-3</v>
      </c>
      <c r="F170" s="49">
        <f t="shared" si="23"/>
        <v>-2</v>
      </c>
      <c r="G170" s="49">
        <f t="shared" si="23"/>
        <v>-1</v>
      </c>
      <c r="H170" s="44">
        <f>D166</f>
        <v>0</v>
      </c>
      <c r="I170" s="72" t="s">
        <v>242</v>
      </c>
    </row>
    <row r="171" spans="1:9" ht="25.05" customHeight="1">
      <c r="A171" s="83"/>
      <c r="B171" s="17" t="s">
        <v>141</v>
      </c>
      <c r="C171" s="50" t="s">
        <v>185</v>
      </c>
      <c r="D171" s="80" t="s">
        <v>5</v>
      </c>
      <c r="E171" s="80" t="s">
        <v>6</v>
      </c>
      <c r="F171" s="80" t="s">
        <v>7</v>
      </c>
      <c r="G171" s="80" t="s">
        <v>8</v>
      </c>
      <c r="H171" s="89" t="s">
        <v>9</v>
      </c>
      <c r="I171" s="93" t="s">
        <v>237</v>
      </c>
    </row>
    <row r="172" spans="1:9" ht="25.05" customHeight="1">
      <c r="A172" s="83"/>
      <c r="B172" s="18" t="s">
        <v>97</v>
      </c>
      <c r="C172" s="51" t="s">
        <v>187</v>
      </c>
      <c r="D172" s="81"/>
      <c r="E172" s="81"/>
      <c r="F172" s="81"/>
      <c r="G172" s="81"/>
      <c r="H172" s="90"/>
      <c r="I172" s="94"/>
    </row>
    <row r="173" spans="1:9" ht="25.05" customHeight="1">
      <c r="A173" s="83"/>
      <c r="B173" s="18" t="s">
        <v>61</v>
      </c>
      <c r="C173" s="52" t="s">
        <v>5</v>
      </c>
      <c r="D173" s="6">
        <v>0</v>
      </c>
      <c r="E173" s="5">
        <f t="shared" ref="E173:G174" si="24">D173+$B$177/4</f>
        <v>2</v>
      </c>
      <c r="F173" s="5">
        <f t="shared" si="24"/>
        <v>4</v>
      </c>
      <c r="G173" s="5">
        <f t="shared" si="24"/>
        <v>6</v>
      </c>
      <c r="H173" s="10">
        <f>G173+$B$177/4</f>
        <v>8</v>
      </c>
      <c r="I173" s="71" t="s">
        <v>130</v>
      </c>
    </row>
    <row r="174" spans="1:9" ht="25.05" customHeight="1">
      <c r="A174" s="83"/>
      <c r="B174" s="18" t="s">
        <v>191</v>
      </c>
      <c r="C174" s="52" t="s">
        <v>6</v>
      </c>
      <c r="D174" s="5">
        <f>D173-$B$177/4</f>
        <v>-2</v>
      </c>
      <c r="E174" s="6">
        <f>D173</f>
        <v>0</v>
      </c>
      <c r="F174" s="5">
        <f t="shared" si="24"/>
        <v>2</v>
      </c>
      <c r="G174" s="5">
        <f>F174+$B$177/4</f>
        <v>4</v>
      </c>
      <c r="H174" s="10">
        <f>G174+$B$177/4</f>
        <v>6</v>
      </c>
      <c r="I174" s="71" t="s">
        <v>239</v>
      </c>
    </row>
    <row r="175" spans="1:9" ht="25.05" customHeight="1">
      <c r="A175" s="83"/>
      <c r="B175" s="18" t="s">
        <v>192</v>
      </c>
      <c r="C175" s="52" t="s">
        <v>7</v>
      </c>
      <c r="D175" s="5">
        <f>D174-$B$177/4</f>
        <v>-4</v>
      </c>
      <c r="E175" s="5">
        <f t="shared" ref="E175:G177" si="25">E174-$B$177/4</f>
        <v>-2</v>
      </c>
      <c r="F175" s="6">
        <f>D173</f>
        <v>0</v>
      </c>
      <c r="G175" s="5">
        <f>F175+$B$177/4</f>
        <v>2</v>
      </c>
      <c r="H175" s="10">
        <f>G175+$B$177/4</f>
        <v>4</v>
      </c>
      <c r="I175" s="71" t="s">
        <v>240</v>
      </c>
    </row>
    <row r="176" spans="1:9" ht="25.05" customHeight="1">
      <c r="A176" s="83"/>
      <c r="B176" s="47" t="s">
        <v>138</v>
      </c>
      <c r="C176" s="52" t="s">
        <v>8</v>
      </c>
      <c r="D176" s="5">
        <f>D175-$B$177/4</f>
        <v>-6</v>
      </c>
      <c r="E176" s="5">
        <f t="shared" si="25"/>
        <v>-4</v>
      </c>
      <c r="F176" s="5">
        <f t="shared" si="25"/>
        <v>-2</v>
      </c>
      <c r="G176" s="6">
        <f>D173</f>
        <v>0</v>
      </c>
      <c r="H176" s="10">
        <f>G176+$B$177/4</f>
        <v>2</v>
      </c>
      <c r="I176" s="71" t="s">
        <v>241</v>
      </c>
    </row>
    <row r="177" spans="1:9" ht="25.05" customHeight="1" thickBot="1">
      <c r="A177" s="83"/>
      <c r="B177" s="62">
        <v>8</v>
      </c>
      <c r="C177" s="53" t="s">
        <v>9</v>
      </c>
      <c r="D177" s="49">
        <f>D176-$B$177/4</f>
        <v>-8</v>
      </c>
      <c r="E177" s="49">
        <f t="shared" si="25"/>
        <v>-6</v>
      </c>
      <c r="F177" s="49">
        <f t="shared" si="25"/>
        <v>-4</v>
      </c>
      <c r="G177" s="49">
        <f t="shared" si="25"/>
        <v>-2</v>
      </c>
      <c r="H177" s="44">
        <f>D173</f>
        <v>0</v>
      </c>
      <c r="I177" s="72" t="s">
        <v>242</v>
      </c>
    </row>
    <row r="178" spans="1:9" ht="25.05" customHeight="1">
      <c r="A178" s="83"/>
      <c r="B178" s="17" t="s">
        <v>193</v>
      </c>
      <c r="C178" s="20" t="s">
        <v>185</v>
      </c>
      <c r="D178" s="80" t="s">
        <v>5</v>
      </c>
      <c r="E178" s="80" t="s">
        <v>6</v>
      </c>
      <c r="F178" s="80" t="s">
        <v>7</v>
      </c>
      <c r="G178" s="80" t="s">
        <v>8</v>
      </c>
      <c r="H178" s="89" t="s">
        <v>9</v>
      </c>
      <c r="I178" s="93" t="s">
        <v>238</v>
      </c>
    </row>
    <row r="179" spans="1:9" ht="25.05" customHeight="1">
      <c r="A179" s="83"/>
      <c r="B179" s="18" t="s">
        <v>194</v>
      </c>
      <c r="C179" s="70" t="s">
        <v>187</v>
      </c>
      <c r="D179" s="81"/>
      <c r="E179" s="81"/>
      <c r="F179" s="81"/>
      <c r="G179" s="81"/>
      <c r="H179" s="90"/>
      <c r="I179" s="94"/>
    </row>
    <row r="180" spans="1:9" ht="25.05" customHeight="1">
      <c r="A180" s="83"/>
      <c r="B180" s="18" t="s">
        <v>142</v>
      </c>
      <c r="C180" s="22" t="s">
        <v>5</v>
      </c>
      <c r="D180" s="6">
        <v>0</v>
      </c>
      <c r="E180" s="5">
        <f t="shared" ref="E180:G181" si="26">D180+$B$184/4</f>
        <v>2</v>
      </c>
      <c r="F180" s="5">
        <f t="shared" si="26"/>
        <v>4</v>
      </c>
      <c r="G180" s="5">
        <f t="shared" si="26"/>
        <v>6</v>
      </c>
      <c r="H180" s="10">
        <f>G180+$B$184/4</f>
        <v>8</v>
      </c>
      <c r="I180" s="71" t="s">
        <v>130</v>
      </c>
    </row>
    <row r="181" spans="1:9" ht="25.05" customHeight="1">
      <c r="A181" s="83"/>
      <c r="B181" s="18" t="s">
        <v>195</v>
      </c>
      <c r="C181" s="22" t="s">
        <v>6</v>
      </c>
      <c r="D181" s="5">
        <f>D180-$B$184/4</f>
        <v>-2</v>
      </c>
      <c r="E181" s="6">
        <f>D180</f>
        <v>0</v>
      </c>
      <c r="F181" s="5">
        <f t="shared" si="26"/>
        <v>2</v>
      </c>
      <c r="G181" s="5">
        <f>F181+$B$184/4</f>
        <v>4</v>
      </c>
      <c r="H181" s="10">
        <f>G181+$B$184/4</f>
        <v>6</v>
      </c>
      <c r="I181" s="71" t="s">
        <v>239</v>
      </c>
    </row>
    <row r="182" spans="1:9" ht="25.05" customHeight="1">
      <c r="A182" s="83"/>
      <c r="B182" s="18" t="s">
        <v>196</v>
      </c>
      <c r="C182" s="22" t="s">
        <v>7</v>
      </c>
      <c r="D182" s="5">
        <f>D181-$B$184/4</f>
        <v>-4</v>
      </c>
      <c r="E182" s="5">
        <f t="shared" ref="E182:G184" si="27">E181-$B$184/4</f>
        <v>-2</v>
      </c>
      <c r="F182" s="6">
        <f>D180</f>
        <v>0</v>
      </c>
      <c r="G182" s="5">
        <f>F182+$B$184/4</f>
        <v>2</v>
      </c>
      <c r="H182" s="10">
        <f>G182+$B$184/4</f>
        <v>4</v>
      </c>
      <c r="I182" s="71" t="s">
        <v>240</v>
      </c>
    </row>
    <row r="183" spans="1:9" ht="25.05" customHeight="1">
      <c r="A183" s="83"/>
      <c r="B183" s="47" t="s">
        <v>197</v>
      </c>
      <c r="C183" s="22" t="s">
        <v>8</v>
      </c>
      <c r="D183" s="5">
        <f>D182-$B$184/4</f>
        <v>-6</v>
      </c>
      <c r="E183" s="5">
        <f t="shared" si="27"/>
        <v>-4</v>
      </c>
      <c r="F183" s="5">
        <f t="shared" si="27"/>
        <v>-2</v>
      </c>
      <c r="G183" s="6">
        <f>D180</f>
        <v>0</v>
      </c>
      <c r="H183" s="10">
        <f>G183+$B$184/4</f>
        <v>2</v>
      </c>
      <c r="I183" s="71" t="s">
        <v>241</v>
      </c>
    </row>
    <row r="184" spans="1:9" ht="30" customHeight="1" thickBot="1">
      <c r="A184" s="83"/>
      <c r="B184" s="62">
        <v>8</v>
      </c>
      <c r="C184" s="41" t="s">
        <v>9</v>
      </c>
      <c r="D184" s="49">
        <f>D183-$B$184/4</f>
        <v>-8</v>
      </c>
      <c r="E184" s="49">
        <f t="shared" si="27"/>
        <v>-6</v>
      </c>
      <c r="F184" s="49">
        <f t="shared" si="27"/>
        <v>-4</v>
      </c>
      <c r="G184" s="49">
        <f t="shared" si="27"/>
        <v>-2</v>
      </c>
      <c r="H184" s="44">
        <f>D180</f>
        <v>0</v>
      </c>
      <c r="I184" s="72" t="s">
        <v>242</v>
      </c>
    </row>
    <row r="185" spans="1:9" ht="20.100000000000001" customHeight="1">
      <c r="A185" s="83" t="s">
        <v>151</v>
      </c>
      <c r="B185" s="17" t="s">
        <v>143</v>
      </c>
      <c r="C185" s="50" t="s">
        <v>185</v>
      </c>
      <c r="D185" s="80" t="s">
        <v>5</v>
      </c>
      <c r="E185" s="80" t="s">
        <v>6</v>
      </c>
      <c r="F185" s="80" t="s">
        <v>7</v>
      </c>
      <c r="G185" s="80" t="s">
        <v>8</v>
      </c>
      <c r="H185" s="89" t="s">
        <v>9</v>
      </c>
      <c r="I185" s="95" t="s">
        <v>162</v>
      </c>
    </row>
    <row r="186" spans="1:9" ht="20.100000000000001" customHeight="1">
      <c r="A186" s="83"/>
      <c r="B186" s="18" t="s">
        <v>144</v>
      </c>
      <c r="C186" s="51" t="s">
        <v>187</v>
      </c>
      <c r="D186" s="81"/>
      <c r="E186" s="81"/>
      <c r="F186" s="81"/>
      <c r="G186" s="81"/>
      <c r="H186" s="90"/>
      <c r="I186" s="96"/>
    </row>
    <row r="187" spans="1:9" ht="35.1" customHeight="1">
      <c r="A187" s="83"/>
      <c r="B187" s="18" t="s">
        <v>16</v>
      </c>
      <c r="C187" s="52" t="s">
        <v>5</v>
      </c>
      <c r="D187" s="6">
        <v>0</v>
      </c>
      <c r="E187" s="5">
        <f t="shared" ref="E187:G188" si="28">D187+$B$191/4</f>
        <v>7.5</v>
      </c>
      <c r="F187" s="5">
        <f t="shared" si="28"/>
        <v>15</v>
      </c>
      <c r="G187" s="5">
        <f t="shared" si="28"/>
        <v>22.5</v>
      </c>
      <c r="H187" s="10">
        <f>G187+$B$191/4</f>
        <v>30</v>
      </c>
      <c r="I187" s="61" t="s">
        <v>160</v>
      </c>
    </row>
    <row r="188" spans="1:9" ht="35.1" customHeight="1">
      <c r="A188" s="83"/>
      <c r="B188" s="18" t="s">
        <v>145</v>
      </c>
      <c r="C188" s="52" t="s">
        <v>6</v>
      </c>
      <c r="D188" s="5">
        <f>D187-$B$191/4</f>
        <v>-7.5</v>
      </c>
      <c r="E188" s="6">
        <f>D187</f>
        <v>0</v>
      </c>
      <c r="F188" s="5">
        <f t="shared" si="28"/>
        <v>7.5</v>
      </c>
      <c r="G188" s="5">
        <f>F188+$B$191/4</f>
        <v>15</v>
      </c>
      <c r="H188" s="10">
        <f>G188+$B$191/4</f>
        <v>22.5</v>
      </c>
      <c r="I188" s="61" t="s">
        <v>159</v>
      </c>
    </row>
    <row r="189" spans="1:9" ht="35.1" customHeight="1">
      <c r="A189" s="83"/>
      <c r="B189" s="18"/>
      <c r="C189" s="52" t="s">
        <v>7</v>
      </c>
      <c r="D189" s="5">
        <f>D188-$B$191/4</f>
        <v>-15</v>
      </c>
      <c r="E189" s="5">
        <f t="shared" ref="E189:G191" si="29">E188-$B$191/4</f>
        <v>-7.5</v>
      </c>
      <c r="F189" s="6">
        <f>D187</f>
        <v>0</v>
      </c>
      <c r="G189" s="5">
        <f>F189+$B$191/4</f>
        <v>7.5</v>
      </c>
      <c r="H189" s="10">
        <f>G189+$B$191/4</f>
        <v>15</v>
      </c>
      <c r="I189" s="61" t="s">
        <v>157</v>
      </c>
    </row>
    <row r="190" spans="1:9" ht="35.1" customHeight="1">
      <c r="A190" s="83"/>
      <c r="B190" s="18"/>
      <c r="C190" s="52" t="s">
        <v>8</v>
      </c>
      <c r="D190" s="5">
        <f>D189-$B$191/4</f>
        <v>-22.5</v>
      </c>
      <c r="E190" s="5">
        <f t="shared" si="29"/>
        <v>-15</v>
      </c>
      <c r="F190" s="5">
        <f t="shared" si="29"/>
        <v>-7.5</v>
      </c>
      <c r="G190" s="6">
        <f>D187</f>
        <v>0</v>
      </c>
      <c r="H190" s="10">
        <f>G190+$B$191/4</f>
        <v>7.5</v>
      </c>
      <c r="I190" s="61" t="s">
        <v>158</v>
      </c>
    </row>
    <row r="191" spans="1:9" ht="35.1" customHeight="1" thickBot="1">
      <c r="A191" s="83"/>
      <c r="B191" s="19">
        <v>30</v>
      </c>
      <c r="C191" s="53" t="s">
        <v>9</v>
      </c>
      <c r="D191" s="49">
        <f>D190-$B$191/4</f>
        <v>-30</v>
      </c>
      <c r="E191" s="49">
        <f t="shared" si="29"/>
        <v>-22.5</v>
      </c>
      <c r="F191" s="49">
        <f t="shared" si="29"/>
        <v>-15</v>
      </c>
      <c r="G191" s="49">
        <f t="shared" si="29"/>
        <v>-7.5</v>
      </c>
      <c r="H191" s="44">
        <f>D187</f>
        <v>0</v>
      </c>
      <c r="I191" s="39" t="s">
        <v>161</v>
      </c>
    </row>
    <row r="192" spans="1:9">
      <c r="A192" s="83"/>
      <c r="B192" s="17" t="s">
        <v>146</v>
      </c>
      <c r="C192" s="20" t="s">
        <v>185</v>
      </c>
      <c r="D192" s="80" t="s">
        <v>5</v>
      </c>
      <c r="E192" s="80" t="s">
        <v>6</v>
      </c>
      <c r="F192" s="80" t="s">
        <v>7</v>
      </c>
      <c r="G192" s="80" t="s">
        <v>8</v>
      </c>
      <c r="H192" s="89" t="s">
        <v>9</v>
      </c>
      <c r="I192" s="95" t="s">
        <v>149</v>
      </c>
    </row>
    <row r="193" spans="1:10" ht="18" customHeight="1">
      <c r="A193" s="83"/>
      <c r="B193" s="18" t="s">
        <v>16</v>
      </c>
      <c r="C193" s="21" t="s">
        <v>187</v>
      </c>
      <c r="D193" s="81"/>
      <c r="E193" s="81"/>
      <c r="F193" s="81"/>
      <c r="G193" s="81"/>
      <c r="H193" s="90"/>
      <c r="I193" s="96"/>
    </row>
    <row r="194" spans="1:10" ht="35.1" customHeight="1">
      <c r="A194" s="83"/>
      <c r="B194" s="18" t="s">
        <v>148</v>
      </c>
      <c r="C194" s="22" t="s">
        <v>5</v>
      </c>
      <c r="D194" s="6">
        <v>0</v>
      </c>
      <c r="E194" s="5">
        <f t="shared" ref="E194:G195" si="30">D194+$B$198/4</f>
        <v>5</v>
      </c>
      <c r="F194" s="5">
        <f t="shared" si="30"/>
        <v>10</v>
      </c>
      <c r="G194" s="5">
        <f t="shared" si="30"/>
        <v>15</v>
      </c>
      <c r="H194" s="10">
        <f>G194+$B$198/4</f>
        <v>20</v>
      </c>
      <c r="I194" s="61" t="s">
        <v>152</v>
      </c>
    </row>
    <row r="195" spans="1:10" ht="35.1" customHeight="1">
      <c r="A195" s="83"/>
      <c r="B195" s="18" t="s">
        <v>147</v>
      </c>
      <c r="C195" s="22" t="s">
        <v>6</v>
      </c>
      <c r="D195" s="5">
        <f>D194-$B$198/4</f>
        <v>-5</v>
      </c>
      <c r="E195" s="6">
        <f>D194</f>
        <v>0</v>
      </c>
      <c r="F195" s="5">
        <f t="shared" si="30"/>
        <v>5</v>
      </c>
      <c r="G195" s="5">
        <f>F195+$B$198/4</f>
        <v>10</v>
      </c>
      <c r="H195" s="10">
        <f>G195+$B$198/4</f>
        <v>15</v>
      </c>
      <c r="I195" s="61" t="s">
        <v>153</v>
      </c>
    </row>
    <row r="196" spans="1:10" ht="35.1" customHeight="1">
      <c r="A196" s="83"/>
      <c r="B196" s="18"/>
      <c r="C196" s="22" t="s">
        <v>7</v>
      </c>
      <c r="D196" s="5">
        <f>D195-$B$198/4</f>
        <v>-10</v>
      </c>
      <c r="E196" s="5">
        <f t="shared" ref="E196:G198" si="31">E195-$B$198/4</f>
        <v>-5</v>
      </c>
      <c r="F196" s="6">
        <f>D194</f>
        <v>0</v>
      </c>
      <c r="G196" s="5">
        <f>F196+$B$198/4</f>
        <v>5</v>
      </c>
      <c r="H196" s="10">
        <f>G196+$B$198/4</f>
        <v>10</v>
      </c>
      <c r="I196" s="61" t="s">
        <v>156</v>
      </c>
    </row>
    <row r="197" spans="1:10" ht="35.1" customHeight="1">
      <c r="A197" s="83"/>
      <c r="B197" s="18"/>
      <c r="C197" s="22" t="s">
        <v>8</v>
      </c>
      <c r="D197" s="5">
        <f>D196-$B$198/4</f>
        <v>-15</v>
      </c>
      <c r="E197" s="5">
        <f t="shared" si="31"/>
        <v>-10</v>
      </c>
      <c r="F197" s="5">
        <f t="shared" si="31"/>
        <v>-5</v>
      </c>
      <c r="G197" s="6">
        <f>D194</f>
        <v>0</v>
      </c>
      <c r="H197" s="10">
        <f>G197+$B$198/4</f>
        <v>5</v>
      </c>
      <c r="I197" s="61" t="s">
        <v>155</v>
      </c>
    </row>
    <row r="198" spans="1:10" ht="35.1" customHeight="1" thickBot="1">
      <c r="A198" s="85"/>
      <c r="B198" s="19">
        <v>20</v>
      </c>
      <c r="C198" s="23" t="s">
        <v>9</v>
      </c>
      <c r="D198" s="11">
        <f>D197-$B$198/4</f>
        <v>-20</v>
      </c>
      <c r="E198" s="11">
        <f t="shared" si="31"/>
        <v>-15</v>
      </c>
      <c r="F198" s="11">
        <f t="shared" si="31"/>
        <v>-10</v>
      </c>
      <c r="G198" s="11">
        <f t="shared" si="31"/>
        <v>-5</v>
      </c>
      <c r="H198" s="9">
        <f>D194</f>
        <v>0</v>
      </c>
      <c r="I198" s="39" t="s">
        <v>154</v>
      </c>
    </row>
    <row r="199" spans="1:10" ht="19.5" customHeight="1" thickTop="1">
      <c r="A199" s="82" t="s">
        <v>110</v>
      </c>
      <c r="B199" s="17"/>
      <c r="C199" s="45" t="s">
        <v>185</v>
      </c>
      <c r="D199" s="97" t="s">
        <v>5</v>
      </c>
      <c r="E199" s="97" t="s">
        <v>6</v>
      </c>
      <c r="F199" s="97" t="s">
        <v>7</v>
      </c>
      <c r="G199" s="97" t="s">
        <v>8</v>
      </c>
      <c r="H199" s="98" t="s">
        <v>9</v>
      </c>
      <c r="I199" s="13" t="s">
        <v>111</v>
      </c>
    </row>
    <row r="200" spans="1:10">
      <c r="A200" s="83"/>
      <c r="B200" s="18"/>
      <c r="C200" s="21" t="s">
        <v>187</v>
      </c>
      <c r="D200" s="81"/>
      <c r="E200" s="81"/>
      <c r="F200" s="81"/>
      <c r="G200" s="81"/>
      <c r="H200" s="90"/>
      <c r="I200" s="15" t="s">
        <v>112</v>
      </c>
    </row>
    <row r="201" spans="1:10">
      <c r="A201" s="83"/>
      <c r="B201" s="18"/>
      <c r="C201" s="22" t="s">
        <v>5</v>
      </c>
      <c r="D201" s="6">
        <v>0</v>
      </c>
      <c r="E201" s="4">
        <f>D201+$B$205/4</f>
        <v>7.5</v>
      </c>
      <c r="F201" s="4">
        <f>E201+$B$205/4</f>
        <v>15</v>
      </c>
      <c r="G201" s="4">
        <f>F201+$B$205/4</f>
        <v>22.5</v>
      </c>
      <c r="H201" s="7">
        <f>G201+$B$205/4</f>
        <v>30</v>
      </c>
      <c r="I201" s="15"/>
    </row>
    <row r="202" spans="1:10">
      <c r="A202" s="83"/>
      <c r="B202" s="18"/>
      <c r="C202" s="22" t="s">
        <v>6</v>
      </c>
      <c r="D202" s="4">
        <f>D201-$B$205/4</f>
        <v>-7.5</v>
      </c>
      <c r="E202" s="6">
        <f>D201</f>
        <v>0</v>
      </c>
      <c r="F202" s="4">
        <f>F201-$B$205/4</f>
        <v>7.5</v>
      </c>
      <c r="G202" s="4">
        <f>G201-$B$205/4</f>
        <v>15</v>
      </c>
      <c r="H202" s="7">
        <f>G202+$B$205/4</f>
        <v>22.5</v>
      </c>
      <c r="I202" s="15"/>
    </row>
    <row r="203" spans="1:10">
      <c r="A203" s="83"/>
      <c r="B203" s="18"/>
      <c r="C203" s="22" t="s">
        <v>7</v>
      </c>
      <c r="D203" s="4">
        <f>D202-$B$205/4</f>
        <v>-15</v>
      </c>
      <c r="E203" s="4">
        <f>E202-$B$205/4</f>
        <v>-7.5</v>
      </c>
      <c r="F203" s="6">
        <f>D201</f>
        <v>0</v>
      </c>
      <c r="G203" s="4">
        <f>G202-$B$205/4</f>
        <v>7.5</v>
      </c>
      <c r="H203" s="7">
        <f>G203+$B$205/4</f>
        <v>15</v>
      </c>
      <c r="I203" s="15"/>
    </row>
    <row r="204" spans="1:10">
      <c r="A204" s="83"/>
      <c r="B204" s="18"/>
      <c r="C204" s="22" t="s">
        <v>8</v>
      </c>
      <c r="D204" s="4">
        <f>D203-$B$205/4</f>
        <v>-22.5</v>
      </c>
      <c r="E204" s="4">
        <f>E203-$B$205/4</f>
        <v>-15</v>
      </c>
      <c r="F204" s="4">
        <f>F203-$B$205/4</f>
        <v>-7.5</v>
      </c>
      <c r="G204" s="6">
        <f>D201</f>
        <v>0</v>
      </c>
      <c r="H204" s="7">
        <f>G204+$B$205/4</f>
        <v>7.5</v>
      </c>
      <c r="I204" s="15"/>
    </row>
    <row r="205" spans="1:10" ht="16.8" thickBot="1">
      <c r="A205" s="84"/>
      <c r="B205" s="62">
        <v>30</v>
      </c>
      <c r="C205" s="23" t="s">
        <v>9</v>
      </c>
      <c r="D205" s="8">
        <f>D204-$B$205/4</f>
        <v>-30</v>
      </c>
      <c r="E205" s="8">
        <f>E204-$B$205/4</f>
        <v>-22.5</v>
      </c>
      <c r="F205" s="8">
        <f>F204-$B$205/4</f>
        <v>-15</v>
      </c>
      <c r="G205" s="8">
        <f>G204-$B$205/4</f>
        <v>-7.5</v>
      </c>
      <c r="H205" s="9">
        <f>D201</f>
        <v>0</v>
      </c>
      <c r="I205" s="28"/>
    </row>
    <row r="206" spans="1:10" s="48" customFormat="1">
      <c r="A206" s="86" t="s">
        <v>254</v>
      </c>
      <c r="B206" s="87"/>
      <c r="C206" s="74"/>
      <c r="D206" s="74"/>
      <c r="E206" s="74"/>
      <c r="F206" s="74"/>
      <c r="G206" s="74"/>
      <c r="H206" s="74"/>
      <c r="I206" s="75"/>
    </row>
    <row r="207" spans="1:10" s="76" customFormat="1" ht="33" customHeight="1">
      <c r="A207" s="88" t="s">
        <v>255</v>
      </c>
      <c r="B207" s="88"/>
      <c r="C207" s="88"/>
      <c r="D207" s="88"/>
      <c r="E207" s="88"/>
      <c r="F207" s="88"/>
      <c r="G207" s="88"/>
      <c r="H207" s="88"/>
      <c r="I207" s="88"/>
      <c r="J207" s="73"/>
    </row>
    <row r="208" spans="1:10" s="76" customFormat="1" ht="25.05" customHeight="1">
      <c r="A208" s="88" t="s">
        <v>256</v>
      </c>
      <c r="B208" s="88"/>
      <c r="C208" s="88"/>
      <c r="D208" s="88"/>
      <c r="E208" s="88"/>
      <c r="F208" s="88"/>
      <c r="G208" s="88"/>
      <c r="H208" s="88"/>
      <c r="I208" s="88"/>
      <c r="J208" s="73"/>
    </row>
    <row r="218" spans="1:9">
      <c r="A218" s="32"/>
      <c r="B218" s="33"/>
      <c r="C218" s="33"/>
      <c r="D218" s="33"/>
      <c r="E218" s="33"/>
      <c r="F218" s="33"/>
      <c r="G218" s="33"/>
      <c r="H218" s="33"/>
      <c r="I218" s="33"/>
    </row>
    <row r="219" spans="1:9">
      <c r="A219" s="32"/>
      <c r="B219" s="33"/>
      <c r="C219" s="33"/>
      <c r="D219" s="33"/>
      <c r="E219" s="33"/>
      <c r="F219" s="33"/>
      <c r="G219" s="33"/>
      <c r="H219" s="33"/>
      <c r="I219" s="33"/>
    </row>
    <row r="220" spans="1:9">
      <c r="A220" s="32"/>
      <c r="B220" s="33"/>
      <c r="C220" s="33"/>
      <c r="D220" s="33"/>
      <c r="E220" s="33"/>
      <c r="F220" s="33"/>
      <c r="G220" s="33"/>
      <c r="H220" s="33"/>
      <c r="I220" s="33"/>
    </row>
    <row r="221" spans="1:9">
      <c r="A221" s="32"/>
      <c r="B221" s="33"/>
      <c r="C221" s="33"/>
      <c r="D221" s="33"/>
      <c r="E221" s="33"/>
      <c r="F221" s="33"/>
      <c r="G221" s="33"/>
      <c r="H221" s="33"/>
      <c r="I221" s="33"/>
    </row>
    <row r="222" spans="1:9">
      <c r="A222" s="32"/>
      <c r="B222" s="33"/>
      <c r="C222" s="33"/>
      <c r="D222" s="33"/>
      <c r="E222" s="33"/>
      <c r="F222" s="33"/>
      <c r="G222" s="33"/>
      <c r="H222" s="33"/>
      <c r="I222" s="33"/>
    </row>
    <row r="223" spans="1:9">
      <c r="A223" s="32"/>
      <c r="B223" s="33"/>
      <c r="C223" s="33"/>
      <c r="D223" s="33"/>
      <c r="E223" s="33"/>
      <c r="F223" s="33"/>
      <c r="G223" s="33"/>
      <c r="H223" s="33"/>
      <c r="I223" s="33"/>
    </row>
    <row r="224" spans="1:9">
      <c r="A224" s="32"/>
      <c r="B224" s="33"/>
      <c r="C224" s="33"/>
      <c r="D224" s="33"/>
      <c r="E224" s="33"/>
      <c r="F224" s="33"/>
      <c r="G224" s="33"/>
      <c r="H224" s="33"/>
      <c r="I224" s="33"/>
    </row>
    <row r="225" spans="1:9">
      <c r="A225" s="32"/>
      <c r="B225" s="33"/>
      <c r="C225" s="33"/>
      <c r="D225" s="33"/>
      <c r="E225" s="33"/>
      <c r="F225" s="33"/>
      <c r="G225" s="33"/>
      <c r="H225" s="33"/>
      <c r="I225" s="33"/>
    </row>
    <row r="226" spans="1:9">
      <c r="A226" s="32"/>
      <c r="B226" s="33"/>
      <c r="C226" s="33"/>
      <c r="D226" s="33"/>
      <c r="E226" s="33"/>
      <c r="F226" s="33"/>
      <c r="G226" s="33"/>
      <c r="H226" s="33"/>
      <c r="I226" s="33"/>
    </row>
    <row r="227" spans="1:9">
      <c r="A227" s="32"/>
      <c r="B227" s="33"/>
      <c r="C227" s="33"/>
      <c r="D227" s="33"/>
      <c r="E227" s="33"/>
      <c r="F227" s="33"/>
      <c r="G227" s="33"/>
      <c r="H227" s="33"/>
      <c r="I227" s="33"/>
    </row>
    <row r="228" spans="1:9">
      <c r="A228" s="32"/>
      <c r="B228" s="33"/>
      <c r="C228" s="33"/>
      <c r="D228" s="33"/>
      <c r="E228" s="33"/>
      <c r="F228" s="33"/>
      <c r="G228" s="33"/>
      <c r="H228" s="33"/>
      <c r="I228" s="33"/>
    </row>
    <row r="229" spans="1:9">
      <c r="A229" s="32"/>
      <c r="B229" s="33"/>
      <c r="C229" s="33"/>
      <c r="D229" s="33"/>
      <c r="E229" s="33"/>
      <c r="F229" s="33"/>
      <c r="G229" s="33"/>
      <c r="H229" s="33"/>
      <c r="I229" s="33"/>
    </row>
    <row r="230" spans="1:9">
      <c r="A230" s="32"/>
      <c r="B230" s="33"/>
      <c r="C230" s="33"/>
      <c r="D230" s="33"/>
      <c r="E230" s="33"/>
      <c r="F230" s="33"/>
      <c r="G230" s="33"/>
      <c r="H230" s="33"/>
      <c r="I230" s="33"/>
    </row>
    <row r="231" spans="1:9">
      <c r="A231" s="32"/>
      <c r="B231" s="33"/>
      <c r="C231" s="33"/>
      <c r="D231" s="33"/>
      <c r="E231" s="33"/>
      <c r="F231" s="33"/>
      <c r="G231" s="33"/>
      <c r="H231" s="33"/>
      <c r="I231" s="33"/>
    </row>
    <row r="232" spans="1:9">
      <c r="A232" s="32"/>
      <c r="B232" s="33"/>
      <c r="C232" s="33"/>
      <c r="D232" s="33"/>
      <c r="E232" s="33"/>
      <c r="F232" s="33"/>
      <c r="G232" s="33"/>
      <c r="H232" s="33"/>
      <c r="I232" s="33"/>
    </row>
    <row r="233" spans="1:9">
      <c r="A233" s="32"/>
      <c r="B233" s="33"/>
      <c r="C233" s="33"/>
      <c r="D233" s="33"/>
      <c r="E233" s="33"/>
      <c r="F233" s="33"/>
      <c r="G233" s="33"/>
      <c r="H233" s="33"/>
      <c r="I233" s="33"/>
    </row>
    <row r="234" spans="1:9">
      <c r="A234" s="32"/>
      <c r="B234" s="33"/>
      <c r="C234" s="33"/>
      <c r="D234" s="33"/>
      <c r="E234" s="33"/>
      <c r="F234" s="33"/>
      <c r="G234" s="33"/>
      <c r="H234" s="33"/>
      <c r="I234" s="33"/>
    </row>
    <row r="235" spans="1:9">
      <c r="A235" s="32"/>
      <c r="B235" s="33"/>
      <c r="C235" s="33"/>
      <c r="D235" s="33"/>
      <c r="E235" s="33"/>
      <c r="F235" s="33"/>
      <c r="G235" s="33"/>
      <c r="H235" s="33"/>
      <c r="I235" s="33"/>
    </row>
    <row r="236" spans="1:9">
      <c r="A236" s="32"/>
      <c r="B236" s="33"/>
      <c r="C236" s="33"/>
      <c r="D236" s="33"/>
      <c r="E236" s="33"/>
      <c r="F236" s="33"/>
      <c r="G236" s="33"/>
      <c r="H236" s="33"/>
      <c r="I236" s="33"/>
    </row>
    <row r="237" spans="1:9">
      <c r="A237" s="32"/>
      <c r="B237" s="33"/>
      <c r="C237" s="33"/>
      <c r="D237" s="33"/>
      <c r="E237" s="33"/>
      <c r="F237" s="33"/>
      <c r="G237" s="33"/>
      <c r="H237" s="33"/>
      <c r="I237" s="33"/>
    </row>
    <row r="238" spans="1:9">
      <c r="A238" s="32"/>
      <c r="B238" s="33"/>
      <c r="C238" s="33"/>
      <c r="D238" s="33"/>
      <c r="E238" s="33"/>
      <c r="F238" s="33"/>
      <c r="G238" s="33"/>
      <c r="H238" s="33"/>
      <c r="I238" s="33"/>
    </row>
    <row r="239" spans="1:9">
      <c r="A239" s="32"/>
      <c r="B239" s="33"/>
      <c r="C239" s="33"/>
      <c r="D239" s="33"/>
      <c r="E239" s="33"/>
      <c r="F239" s="33"/>
      <c r="G239" s="33"/>
      <c r="H239" s="33"/>
      <c r="I239" s="33"/>
    </row>
    <row r="240" spans="1:9">
      <c r="A240" s="32"/>
      <c r="B240" s="33"/>
      <c r="C240" s="33"/>
      <c r="D240" s="33"/>
      <c r="E240" s="33"/>
      <c r="F240" s="33"/>
      <c r="G240" s="33"/>
      <c r="H240" s="33"/>
      <c r="I240" s="33"/>
    </row>
    <row r="241" spans="1:9">
      <c r="A241" s="32"/>
      <c r="B241" s="33"/>
      <c r="C241" s="33"/>
      <c r="D241" s="33"/>
      <c r="E241" s="33"/>
      <c r="F241" s="33"/>
      <c r="G241" s="33"/>
      <c r="H241" s="33"/>
      <c r="I241" s="33"/>
    </row>
    <row r="242" spans="1:9">
      <c r="A242" s="32"/>
      <c r="B242" s="33"/>
      <c r="C242" s="33"/>
      <c r="D242" s="33"/>
      <c r="E242" s="33"/>
      <c r="F242" s="33"/>
      <c r="G242" s="33"/>
      <c r="H242" s="33"/>
      <c r="I242" s="33"/>
    </row>
    <row r="243" spans="1:9">
      <c r="A243" s="32"/>
      <c r="B243" s="33"/>
      <c r="C243" s="33"/>
      <c r="D243" s="33"/>
      <c r="E243" s="33"/>
      <c r="F243" s="33"/>
      <c r="G243" s="33"/>
      <c r="H243" s="33"/>
      <c r="I243" s="33"/>
    </row>
    <row r="244" spans="1:9">
      <c r="A244" s="32"/>
      <c r="B244" s="33"/>
      <c r="C244" s="33"/>
      <c r="D244" s="33"/>
      <c r="E244" s="33"/>
      <c r="F244" s="33"/>
      <c r="G244" s="33"/>
      <c r="H244" s="33"/>
      <c r="I244" s="33"/>
    </row>
    <row r="245" spans="1:9">
      <c r="A245" s="32"/>
      <c r="B245" s="33"/>
      <c r="C245" s="33"/>
      <c r="D245" s="33"/>
      <c r="E245" s="33"/>
      <c r="F245" s="33"/>
      <c r="G245" s="33"/>
      <c r="H245" s="33"/>
      <c r="I245" s="33"/>
    </row>
    <row r="246" spans="1:9">
      <c r="A246" s="32"/>
      <c r="B246" s="33"/>
      <c r="C246" s="33"/>
      <c r="D246" s="33"/>
      <c r="E246" s="33"/>
      <c r="F246" s="33"/>
      <c r="G246" s="33"/>
      <c r="H246" s="33"/>
      <c r="I246" s="33"/>
    </row>
    <row r="247" spans="1:9">
      <c r="A247" s="32"/>
      <c r="B247" s="33"/>
      <c r="C247" s="33"/>
      <c r="D247" s="33"/>
      <c r="E247" s="33"/>
      <c r="F247" s="33"/>
      <c r="G247" s="33"/>
      <c r="H247" s="33"/>
      <c r="I247" s="33"/>
    </row>
    <row r="248" spans="1:9">
      <c r="A248" s="32"/>
      <c r="B248" s="33"/>
      <c r="C248" s="33"/>
      <c r="D248" s="33"/>
      <c r="E248" s="33"/>
      <c r="F248" s="33"/>
      <c r="G248" s="33"/>
      <c r="H248" s="33"/>
      <c r="I248" s="33"/>
    </row>
    <row r="249" spans="1:9">
      <c r="A249" s="32"/>
      <c r="B249" s="33"/>
      <c r="C249" s="33"/>
      <c r="D249" s="33"/>
      <c r="E249" s="33"/>
      <c r="F249" s="33"/>
      <c r="G249" s="33"/>
      <c r="H249" s="33"/>
      <c r="I249" s="33"/>
    </row>
    <row r="250" spans="1:9">
      <c r="A250" s="32"/>
      <c r="B250" s="33"/>
      <c r="C250" s="33"/>
      <c r="D250" s="33"/>
      <c r="E250" s="33"/>
      <c r="F250" s="33"/>
      <c r="G250" s="33"/>
      <c r="H250" s="33"/>
      <c r="I250" s="33"/>
    </row>
    <row r="251" spans="1:9">
      <c r="A251" s="32"/>
      <c r="B251" s="33"/>
      <c r="C251" s="33"/>
      <c r="D251" s="33"/>
      <c r="E251" s="33"/>
      <c r="F251" s="33"/>
      <c r="G251" s="33"/>
      <c r="H251" s="33"/>
      <c r="I251" s="33"/>
    </row>
    <row r="252" spans="1:9">
      <c r="A252" s="32"/>
      <c r="B252" s="33"/>
      <c r="C252" s="33"/>
      <c r="D252" s="33"/>
      <c r="E252" s="33"/>
      <c r="F252" s="33"/>
      <c r="G252" s="33"/>
      <c r="H252" s="33"/>
      <c r="I252" s="33"/>
    </row>
    <row r="253" spans="1:9">
      <c r="A253" s="32"/>
      <c r="B253" s="33"/>
      <c r="C253" s="33"/>
      <c r="D253" s="33"/>
      <c r="E253" s="33"/>
      <c r="F253" s="33"/>
      <c r="G253" s="33"/>
      <c r="H253" s="33"/>
      <c r="I253" s="33"/>
    </row>
    <row r="254" spans="1:9">
      <c r="A254" s="32"/>
      <c r="B254" s="33"/>
      <c r="C254" s="33"/>
      <c r="D254" s="33"/>
      <c r="E254" s="33"/>
      <c r="F254" s="33"/>
      <c r="G254" s="33"/>
      <c r="H254" s="33"/>
      <c r="I254" s="33"/>
    </row>
    <row r="255" spans="1:9">
      <c r="A255" s="32"/>
      <c r="B255" s="33"/>
      <c r="C255" s="33"/>
      <c r="D255" s="33"/>
      <c r="E255" s="33"/>
      <c r="F255" s="33"/>
      <c r="G255" s="33"/>
      <c r="H255" s="33"/>
      <c r="I255" s="33"/>
    </row>
    <row r="256" spans="1:9">
      <c r="A256" s="32"/>
      <c r="B256" s="33"/>
      <c r="C256" s="33"/>
      <c r="D256" s="33"/>
      <c r="E256" s="33"/>
      <c r="F256" s="33"/>
      <c r="G256" s="33"/>
      <c r="H256" s="33"/>
      <c r="I256" s="33"/>
    </row>
    <row r="257" spans="1:9">
      <c r="A257" s="32"/>
      <c r="B257" s="33"/>
      <c r="C257" s="33"/>
      <c r="D257" s="33"/>
      <c r="E257" s="33"/>
      <c r="F257" s="33"/>
      <c r="G257" s="33"/>
      <c r="H257" s="33"/>
      <c r="I257" s="33"/>
    </row>
    <row r="258" spans="1:9">
      <c r="A258" s="32"/>
      <c r="B258" s="33"/>
      <c r="C258" s="33"/>
      <c r="D258" s="33"/>
      <c r="E258" s="33"/>
      <c r="F258" s="33"/>
      <c r="G258" s="33"/>
      <c r="H258" s="33"/>
      <c r="I258" s="33"/>
    </row>
    <row r="259" spans="1:9">
      <c r="A259" s="32"/>
      <c r="B259" s="33"/>
      <c r="C259" s="33"/>
      <c r="D259" s="33"/>
      <c r="E259" s="33"/>
      <c r="F259" s="33"/>
      <c r="G259" s="33"/>
      <c r="H259" s="33"/>
      <c r="I259" s="33"/>
    </row>
    <row r="260" spans="1:9">
      <c r="A260" s="32"/>
      <c r="B260" s="33"/>
      <c r="C260" s="33"/>
      <c r="D260" s="33"/>
      <c r="E260" s="33"/>
      <c r="F260" s="33"/>
      <c r="G260" s="33"/>
      <c r="H260" s="33"/>
      <c r="I260" s="33"/>
    </row>
    <row r="261" spans="1:9">
      <c r="A261" s="32"/>
      <c r="B261" s="33"/>
      <c r="C261" s="33"/>
      <c r="D261" s="33"/>
      <c r="E261" s="33"/>
      <c r="F261" s="33"/>
      <c r="G261" s="33"/>
      <c r="H261" s="33"/>
      <c r="I261" s="33"/>
    </row>
    <row r="262" spans="1:9">
      <c r="A262" s="32"/>
      <c r="B262" s="33"/>
      <c r="C262" s="33"/>
      <c r="D262" s="33"/>
      <c r="E262" s="33"/>
      <c r="F262" s="33"/>
      <c r="G262" s="33"/>
      <c r="H262" s="33"/>
      <c r="I262" s="33"/>
    </row>
    <row r="263" spans="1:9">
      <c r="A263" s="32"/>
      <c r="B263" s="33"/>
      <c r="C263" s="33"/>
      <c r="D263" s="33"/>
      <c r="E263" s="33"/>
      <c r="F263" s="33"/>
      <c r="G263" s="33"/>
      <c r="H263" s="33"/>
      <c r="I263" s="33"/>
    </row>
    <row r="264" spans="1:9">
      <c r="A264" s="32"/>
      <c r="B264" s="33"/>
      <c r="C264" s="33"/>
      <c r="D264" s="33"/>
      <c r="E264" s="33"/>
      <c r="F264" s="33"/>
      <c r="G264" s="33"/>
      <c r="H264" s="33"/>
      <c r="I264" s="33"/>
    </row>
    <row r="265" spans="1:9">
      <c r="A265" s="32"/>
      <c r="B265" s="33"/>
      <c r="C265" s="33"/>
      <c r="D265" s="33"/>
      <c r="E265" s="33"/>
      <c r="F265" s="33"/>
      <c r="G265" s="33"/>
      <c r="H265" s="33"/>
      <c r="I265" s="33"/>
    </row>
    <row r="266" spans="1:9">
      <c r="A266" s="32"/>
      <c r="B266" s="33"/>
      <c r="C266" s="33"/>
      <c r="D266" s="33"/>
      <c r="E266" s="33"/>
      <c r="F266" s="33"/>
      <c r="G266" s="33"/>
      <c r="H266" s="33"/>
      <c r="I266" s="33"/>
    </row>
    <row r="267" spans="1:9">
      <c r="A267" s="32"/>
      <c r="B267" s="33"/>
      <c r="C267" s="33"/>
      <c r="D267" s="33"/>
      <c r="E267" s="33"/>
      <c r="F267" s="33"/>
      <c r="G267" s="33"/>
      <c r="H267" s="33"/>
      <c r="I267" s="33"/>
    </row>
    <row r="268" spans="1:9">
      <c r="A268" s="32"/>
      <c r="B268" s="33"/>
      <c r="C268" s="33"/>
      <c r="D268" s="33"/>
      <c r="E268" s="33"/>
      <c r="F268" s="33"/>
      <c r="G268" s="33"/>
      <c r="H268" s="33"/>
      <c r="I268" s="33"/>
    </row>
    <row r="269" spans="1:9">
      <c r="A269" s="32"/>
      <c r="B269" s="33"/>
      <c r="C269" s="33"/>
      <c r="D269" s="33"/>
      <c r="E269" s="33"/>
      <c r="F269" s="33"/>
      <c r="G269" s="33"/>
      <c r="H269" s="33"/>
      <c r="I269" s="33"/>
    </row>
    <row r="270" spans="1:9">
      <c r="A270" s="32"/>
      <c r="B270" s="33"/>
      <c r="C270" s="33"/>
      <c r="D270" s="33"/>
      <c r="E270" s="33"/>
      <c r="F270" s="33"/>
      <c r="G270" s="33"/>
      <c r="H270" s="33"/>
      <c r="I270" s="33"/>
    </row>
    <row r="271" spans="1:9">
      <c r="A271" s="32"/>
      <c r="B271" s="33"/>
      <c r="C271" s="33"/>
      <c r="D271" s="33"/>
      <c r="E271" s="33"/>
      <c r="F271" s="33"/>
      <c r="G271" s="33"/>
      <c r="H271" s="33"/>
      <c r="I271" s="33"/>
    </row>
    <row r="272" spans="1:9">
      <c r="A272" s="32"/>
      <c r="B272" s="33"/>
      <c r="C272" s="33"/>
      <c r="D272" s="33"/>
      <c r="E272" s="33"/>
      <c r="F272" s="33"/>
      <c r="G272" s="33"/>
      <c r="H272" s="33"/>
      <c r="I272" s="33"/>
    </row>
    <row r="273" spans="1:9">
      <c r="A273" s="32"/>
      <c r="B273" s="33"/>
      <c r="C273" s="33"/>
      <c r="D273" s="33"/>
      <c r="E273" s="33"/>
      <c r="F273" s="33"/>
      <c r="G273" s="33"/>
      <c r="H273" s="33"/>
      <c r="I273" s="33"/>
    </row>
    <row r="274" spans="1:9">
      <c r="A274" s="32"/>
      <c r="B274" s="33"/>
      <c r="C274" s="33"/>
      <c r="D274" s="33"/>
      <c r="E274" s="33"/>
      <c r="F274" s="33"/>
      <c r="G274" s="33"/>
      <c r="H274" s="33"/>
      <c r="I274" s="33"/>
    </row>
    <row r="275" spans="1:9">
      <c r="A275" s="32"/>
      <c r="B275" s="33"/>
      <c r="C275" s="33"/>
      <c r="D275" s="33"/>
      <c r="E275" s="33"/>
      <c r="F275" s="33"/>
      <c r="G275" s="33"/>
      <c r="H275" s="33"/>
      <c r="I275" s="33"/>
    </row>
    <row r="276" spans="1:9">
      <c r="A276" s="32"/>
      <c r="B276" s="33"/>
      <c r="C276" s="33"/>
      <c r="D276" s="33"/>
      <c r="E276" s="33"/>
      <c r="F276" s="33"/>
      <c r="G276" s="33"/>
      <c r="H276" s="33"/>
      <c r="I276" s="33"/>
    </row>
    <row r="277" spans="1:9">
      <c r="A277" s="32"/>
      <c r="B277" s="33"/>
      <c r="C277" s="33"/>
      <c r="D277" s="33"/>
      <c r="E277" s="33"/>
      <c r="F277" s="33"/>
      <c r="G277" s="33"/>
      <c r="H277" s="33"/>
      <c r="I277" s="33"/>
    </row>
    <row r="278" spans="1:9">
      <c r="A278" s="32"/>
      <c r="B278" s="33"/>
      <c r="C278" s="33"/>
      <c r="D278" s="33"/>
      <c r="E278" s="33"/>
      <c r="F278" s="33"/>
      <c r="G278" s="33"/>
      <c r="H278" s="33"/>
      <c r="I278" s="33"/>
    </row>
    <row r="279" spans="1:9">
      <c r="A279" s="32"/>
      <c r="B279" s="33"/>
      <c r="C279" s="33"/>
      <c r="D279" s="33"/>
      <c r="E279" s="33"/>
      <c r="F279" s="33"/>
      <c r="G279" s="33"/>
      <c r="H279" s="33"/>
      <c r="I279" s="33"/>
    </row>
    <row r="280" spans="1:9">
      <c r="A280" s="32"/>
      <c r="B280" s="33"/>
      <c r="C280" s="33"/>
      <c r="D280" s="33"/>
      <c r="E280" s="33"/>
      <c r="F280" s="33"/>
      <c r="G280" s="33"/>
      <c r="H280" s="33"/>
      <c r="I280" s="33"/>
    </row>
    <row r="281" spans="1:9">
      <c r="A281" s="32"/>
      <c r="B281" s="33"/>
      <c r="C281" s="33"/>
      <c r="D281" s="33"/>
      <c r="E281" s="33"/>
      <c r="F281" s="33"/>
      <c r="G281" s="33"/>
      <c r="H281" s="33"/>
      <c r="I281" s="33"/>
    </row>
    <row r="282" spans="1:9">
      <c r="A282" s="32"/>
      <c r="B282" s="33"/>
      <c r="C282" s="33"/>
      <c r="D282" s="33"/>
      <c r="E282" s="33"/>
      <c r="F282" s="33"/>
      <c r="G282" s="33"/>
      <c r="H282" s="33"/>
      <c r="I282" s="33"/>
    </row>
    <row r="283" spans="1:9">
      <c r="A283" s="32"/>
      <c r="B283" s="33"/>
      <c r="C283" s="33"/>
      <c r="D283" s="33"/>
      <c r="E283" s="33"/>
      <c r="F283" s="33"/>
      <c r="G283" s="33"/>
      <c r="H283" s="33"/>
      <c r="I283" s="33"/>
    </row>
    <row r="284" spans="1:9">
      <c r="A284" s="32"/>
      <c r="B284" s="33"/>
      <c r="C284" s="33"/>
      <c r="D284" s="33"/>
      <c r="E284" s="33"/>
      <c r="F284" s="33"/>
      <c r="G284" s="33"/>
      <c r="H284" s="33"/>
      <c r="I284" s="33"/>
    </row>
    <row r="285" spans="1:9">
      <c r="A285" s="32"/>
      <c r="B285" s="33"/>
      <c r="C285" s="33"/>
      <c r="D285" s="33"/>
      <c r="E285" s="33"/>
      <c r="F285" s="33"/>
      <c r="G285" s="33"/>
      <c r="H285" s="33"/>
      <c r="I285" s="33"/>
    </row>
    <row r="286" spans="1:9">
      <c r="A286" s="32"/>
      <c r="B286" s="33"/>
      <c r="C286" s="33"/>
      <c r="D286" s="33"/>
      <c r="E286" s="33"/>
      <c r="F286" s="33"/>
      <c r="G286" s="33"/>
      <c r="H286" s="33"/>
      <c r="I286" s="33"/>
    </row>
    <row r="287" spans="1:9">
      <c r="A287" s="32"/>
      <c r="B287" s="33"/>
      <c r="C287" s="33"/>
      <c r="D287" s="33"/>
      <c r="E287" s="33"/>
      <c r="F287" s="33"/>
      <c r="G287" s="33"/>
      <c r="H287" s="33"/>
      <c r="I287" s="33"/>
    </row>
    <row r="288" spans="1:9">
      <c r="A288" s="32"/>
      <c r="B288" s="33"/>
      <c r="C288" s="33"/>
      <c r="D288" s="33"/>
      <c r="E288" s="33"/>
      <c r="F288" s="33"/>
      <c r="G288" s="33"/>
      <c r="H288" s="33"/>
      <c r="I288" s="33"/>
    </row>
    <row r="289" spans="1:9">
      <c r="A289" s="32"/>
      <c r="B289" s="33"/>
      <c r="C289" s="33"/>
      <c r="D289" s="33"/>
      <c r="E289" s="33"/>
      <c r="F289" s="33"/>
      <c r="G289" s="33"/>
      <c r="H289" s="33"/>
      <c r="I289" s="33"/>
    </row>
    <row r="290" spans="1:9">
      <c r="A290" s="32"/>
      <c r="B290" s="33"/>
      <c r="C290" s="33"/>
      <c r="D290" s="33"/>
      <c r="E290" s="33"/>
      <c r="F290" s="33"/>
      <c r="G290" s="33"/>
      <c r="H290" s="33"/>
      <c r="I290" s="33"/>
    </row>
    <row r="291" spans="1:9">
      <c r="A291" s="32"/>
      <c r="B291" s="33"/>
      <c r="C291" s="33"/>
      <c r="D291" s="33"/>
      <c r="E291" s="33"/>
      <c r="F291" s="33"/>
      <c r="G291" s="33"/>
      <c r="H291" s="33"/>
      <c r="I291" s="33"/>
    </row>
    <row r="292" spans="1:9">
      <c r="A292" s="32"/>
      <c r="B292" s="33"/>
      <c r="C292" s="33"/>
      <c r="D292" s="33"/>
      <c r="E292" s="33"/>
      <c r="F292" s="33"/>
      <c r="G292" s="33"/>
      <c r="H292" s="33"/>
      <c r="I292" s="33"/>
    </row>
    <row r="293" spans="1:9">
      <c r="A293" s="32"/>
      <c r="B293" s="33"/>
      <c r="C293" s="33"/>
      <c r="D293" s="33"/>
      <c r="E293" s="33"/>
      <c r="F293" s="33"/>
      <c r="G293" s="33"/>
      <c r="H293" s="33"/>
      <c r="I293" s="33"/>
    </row>
    <row r="294" spans="1:9">
      <c r="A294" s="32"/>
      <c r="B294" s="33"/>
      <c r="C294" s="33"/>
      <c r="D294" s="33"/>
      <c r="E294" s="33"/>
      <c r="F294" s="33"/>
      <c r="G294" s="33"/>
      <c r="H294" s="33"/>
      <c r="I294" s="33"/>
    </row>
    <row r="295" spans="1:9">
      <c r="A295" s="32"/>
      <c r="B295" s="33"/>
      <c r="C295" s="33"/>
      <c r="D295" s="33"/>
      <c r="E295" s="33"/>
      <c r="F295" s="33"/>
      <c r="G295" s="33"/>
      <c r="H295" s="33"/>
      <c r="I295" s="33"/>
    </row>
    <row r="296" spans="1:9">
      <c r="A296" s="32"/>
      <c r="B296" s="33"/>
      <c r="C296" s="33"/>
      <c r="D296" s="33"/>
      <c r="E296" s="33"/>
      <c r="F296" s="33"/>
      <c r="G296" s="33"/>
      <c r="H296" s="33"/>
      <c r="I296" s="33"/>
    </row>
    <row r="297" spans="1:9">
      <c r="A297" s="32"/>
      <c r="B297" s="33"/>
      <c r="C297" s="33"/>
      <c r="D297" s="33"/>
      <c r="E297" s="33"/>
      <c r="F297" s="33"/>
      <c r="G297" s="33"/>
      <c r="H297" s="33"/>
      <c r="I297" s="33"/>
    </row>
    <row r="298" spans="1:9">
      <c r="A298" s="32"/>
      <c r="B298" s="33"/>
      <c r="C298" s="33"/>
      <c r="D298" s="33"/>
      <c r="E298" s="33"/>
      <c r="F298" s="33"/>
      <c r="G298" s="33"/>
      <c r="H298" s="33"/>
      <c r="I298" s="33"/>
    </row>
    <row r="299" spans="1:9">
      <c r="A299" s="32"/>
      <c r="B299" s="33"/>
      <c r="C299" s="33"/>
      <c r="D299" s="33"/>
      <c r="E299" s="33"/>
      <c r="F299" s="33"/>
      <c r="G299" s="33"/>
      <c r="H299" s="33"/>
      <c r="I299" s="33"/>
    </row>
    <row r="300" spans="1:9">
      <c r="A300" s="32"/>
      <c r="B300" s="33"/>
      <c r="C300" s="33"/>
      <c r="D300" s="33"/>
      <c r="E300" s="33"/>
      <c r="F300" s="33"/>
      <c r="G300" s="33"/>
      <c r="H300" s="33"/>
      <c r="I300" s="33"/>
    </row>
    <row r="301" spans="1:9">
      <c r="A301" s="32"/>
      <c r="B301" s="33"/>
      <c r="C301" s="33"/>
      <c r="D301" s="33"/>
      <c r="E301" s="33"/>
      <c r="F301" s="33"/>
      <c r="G301" s="33"/>
      <c r="H301" s="33"/>
      <c r="I301" s="33"/>
    </row>
    <row r="302" spans="1:9">
      <c r="A302" s="32"/>
      <c r="B302" s="33"/>
      <c r="C302" s="33"/>
      <c r="D302" s="33"/>
      <c r="E302" s="33"/>
      <c r="F302" s="33"/>
      <c r="G302" s="33"/>
      <c r="H302" s="33"/>
      <c r="I302" s="33"/>
    </row>
    <row r="303" spans="1:9">
      <c r="A303" s="32"/>
      <c r="B303" s="33"/>
      <c r="C303" s="33"/>
      <c r="D303" s="33"/>
      <c r="E303" s="33"/>
      <c r="F303" s="33"/>
      <c r="G303" s="33"/>
      <c r="H303" s="33"/>
      <c r="I303" s="33"/>
    </row>
    <row r="304" spans="1:9">
      <c r="A304" s="32"/>
      <c r="B304" s="33"/>
      <c r="C304" s="33"/>
      <c r="D304" s="33"/>
      <c r="E304" s="33"/>
      <c r="F304" s="33"/>
      <c r="G304" s="33"/>
      <c r="H304" s="33"/>
      <c r="I304" s="33"/>
    </row>
    <row r="305" spans="1:9">
      <c r="A305" s="32"/>
      <c r="B305" s="33"/>
      <c r="C305" s="33"/>
      <c r="D305" s="33"/>
      <c r="E305" s="33"/>
      <c r="F305" s="33"/>
      <c r="G305" s="33"/>
      <c r="H305" s="33"/>
      <c r="I305" s="33"/>
    </row>
    <row r="306" spans="1:9">
      <c r="A306" s="32"/>
      <c r="B306" s="33"/>
      <c r="C306" s="33"/>
      <c r="D306" s="33"/>
      <c r="E306" s="33"/>
      <c r="F306" s="33"/>
      <c r="G306" s="33"/>
      <c r="H306" s="33"/>
      <c r="I306" s="33"/>
    </row>
    <row r="307" spans="1:9">
      <c r="A307" s="32"/>
      <c r="B307" s="33"/>
      <c r="C307" s="33"/>
      <c r="D307" s="33"/>
      <c r="E307" s="33"/>
      <c r="F307" s="33"/>
      <c r="G307" s="33"/>
      <c r="H307" s="33"/>
      <c r="I307" s="33"/>
    </row>
    <row r="308" spans="1:9">
      <c r="A308" s="32"/>
      <c r="B308" s="33"/>
      <c r="C308" s="33"/>
      <c r="D308" s="33"/>
      <c r="E308" s="33"/>
      <c r="F308" s="33"/>
      <c r="G308" s="33"/>
      <c r="H308" s="33"/>
      <c r="I308" s="33"/>
    </row>
    <row r="309" spans="1:9">
      <c r="A309" s="32"/>
      <c r="B309" s="33"/>
      <c r="C309" s="33"/>
      <c r="D309" s="33"/>
      <c r="E309" s="33"/>
      <c r="F309" s="33"/>
      <c r="G309" s="33"/>
      <c r="H309" s="33"/>
      <c r="I309" s="33"/>
    </row>
    <row r="310" spans="1:9">
      <c r="A310" s="32"/>
      <c r="B310" s="33"/>
      <c r="C310" s="33"/>
      <c r="D310" s="33"/>
      <c r="E310" s="33"/>
      <c r="F310" s="33"/>
      <c r="G310" s="33"/>
      <c r="H310" s="33"/>
      <c r="I310" s="33"/>
    </row>
    <row r="311" spans="1:9">
      <c r="A311" s="32"/>
      <c r="B311" s="33"/>
      <c r="C311" s="33"/>
      <c r="D311" s="33"/>
      <c r="E311" s="33"/>
      <c r="F311" s="33"/>
      <c r="G311" s="33"/>
      <c r="H311" s="33"/>
      <c r="I311" s="33"/>
    </row>
    <row r="312" spans="1:9">
      <c r="A312" s="32"/>
      <c r="B312" s="33"/>
      <c r="C312" s="33"/>
      <c r="D312" s="33"/>
      <c r="E312" s="33"/>
      <c r="F312" s="33"/>
      <c r="G312" s="33"/>
      <c r="H312" s="33"/>
      <c r="I312" s="33"/>
    </row>
    <row r="313" spans="1:9">
      <c r="A313" s="32"/>
      <c r="B313" s="33"/>
      <c r="C313" s="33"/>
      <c r="D313" s="33"/>
      <c r="E313" s="33"/>
      <c r="F313" s="33"/>
      <c r="G313" s="33"/>
      <c r="H313" s="33"/>
      <c r="I313" s="33"/>
    </row>
    <row r="314" spans="1:9">
      <c r="A314" s="32"/>
      <c r="B314" s="33"/>
      <c r="C314" s="33"/>
      <c r="D314" s="33"/>
      <c r="E314" s="33"/>
      <c r="F314" s="33"/>
      <c r="G314" s="33"/>
      <c r="H314" s="33"/>
      <c r="I314" s="33"/>
    </row>
    <row r="315" spans="1:9">
      <c r="A315" s="32"/>
      <c r="B315" s="33"/>
      <c r="C315" s="33"/>
      <c r="D315" s="33"/>
      <c r="E315" s="33"/>
      <c r="F315" s="33"/>
      <c r="G315" s="33"/>
      <c r="H315" s="33"/>
      <c r="I315" s="33"/>
    </row>
    <row r="316" spans="1:9">
      <c r="A316" s="32"/>
      <c r="B316" s="33"/>
      <c r="C316" s="33"/>
      <c r="D316" s="33"/>
      <c r="E316" s="33"/>
      <c r="F316" s="33"/>
      <c r="G316" s="33"/>
      <c r="H316" s="33"/>
      <c r="I316" s="33"/>
    </row>
    <row r="317" spans="1:9">
      <c r="A317" s="32"/>
      <c r="B317" s="33"/>
      <c r="C317" s="33"/>
      <c r="D317" s="33"/>
      <c r="E317" s="33"/>
      <c r="F317" s="33"/>
      <c r="G317" s="33"/>
      <c r="H317" s="33"/>
      <c r="I317" s="33"/>
    </row>
    <row r="318" spans="1:9">
      <c r="A318" s="32"/>
      <c r="B318" s="33"/>
      <c r="C318" s="33"/>
      <c r="D318" s="33"/>
      <c r="E318" s="33"/>
      <c r="F318" s="33"/>
      <c r="G318" s="33"/>
      <c r="H318" s="33"/>
      <c r="I318" s="33"/>
    </row>
    <row r="319" spans="1:9">
      <c r="A319" s="32"/>
      <c r="B319" s="33"/>
      <c r="C319" s="33"/>
      <c r="D319" s="33"/>
      <c r="E319" s="33"/>
      <c r="F319" s="33"/>
      <c r="G319" s="33"/>
      <c r="H319" s="33"/>
      <c r="I319" s="33"/>
    </row>
    <row r="320" spans="1:9">
      <c r="A320" s="32"/>
      <c r="B320" s="33"/>
      <c r="C320" s="33"/>
      <c r="D320" s="33"/>
      <c r="E320" s="33"/>
      <c r="F320" s="33"/>
      <c r="G320" s="33"/>
      <c r="H320" s="33"/>
      <c r="I320" s="33"/>
    </row>
    <row r="321" spans="1:9">
      <c r="A321" s="32"/>
      <c r="B321" s="33"/>
      <c r="C321" s="33"/>
      <c r="D321" s="33"/>
      <c r="E321" s="33"/>
      <c r="F321" s="33"/>
      <c r="G321" s="33"/>
      <c r="H321" s="33"/>
      <c r="I321" s="33"/>
    </row>
    <row r="322" spans="1:9">
      <c r="A322" s="32"/>
      <c r="B322" s="33"/>
      <c r="C322" s="33"/>
      <c r="D322" s="33"/>
      <c r="E322" s="33"/>
      <c r="F322" s="33"/>
      <c r="G322" s="33"/>
      <c r="H322" s="33"/>
      <c r="I322" s="33"/>
    </row>
    <row r="323" spans="1:9">
      <c r="A323" s="32"/>
      <c r="B323" s="33"/>
      <c r="C323" s="33"/>
      <c r="D323" s="33"/>
      <c r="E323" s="33"/>
      <c r="F323" s="33"/>
      <c r="G323" s="33"/>
      <c r="H323" s="33"/>
      <c r="I323" s="33"/>
    </row>
    <row r="324" spans="1:9">
      <c r="A324" s="32"/>
      <c r="B324" s="33"/>
      <c r="C324" s="33"/>
      <c r="D324" s="33"/>
      <c r="E324" s="33"/>
      <c r="F324" s="33"/>
      <c r="G324" s="33"/>
      <c r="H324" s="33"/>
      <c r="I324" s="33"/>
    </row>
    <row r="325" spans="1:9">
      <c r="A325" s="32"/>
      <c r="B325" s="33"/>
      <c r="C325" s="33"/>
      <c r="D325" s="33"/>
      <c r="E325" s="33"/>
      <c r="F325" s="33"/>
      <c r="G325" s="33"/>
      <c r="H325" s="33"/>
      <c r="I325" s="33"/>
    </row>
    <row r="326" spans="1:9">
      <c r="A326" s="32"/>
      <c r="B326" s="33"/>
      <c r="C326" s="33"/>
      <c r="D326" s="33"/>
      <c r="E326" s="33"/>
      <c r="F326" s="33"/>
      <c r="G326" s="33"/>
      <c r="H326" s="33"/>
      <c r="I326" s="33"/>
    </row>
    <row r="327" spans="1:9">
      <c r="A327" s="32"/>
      <c r="B327" s="33"/>
      <c r="C327" s="33"/>
      <c r="D327" s="33"/>
      <c r="E327" s="33"/>
      <c r="F327" s="33"/>
      <c r="G327" s="33"/>
      <c r="H327" s="33"/>
      <c r="I327" s="33"/>
    </row>
    <row r="328" spans="1:9">
      <c r="A328" s="32"/>
      <c r="B328" s="33"/>
      <c r="C328" s="33"/>
      <c r="D328" s="33"/>
      <c r="E328" s="33"/>
      <c r="F328" s="33"/>
      <c r="G328" s="33"/>
      <c r="H328" s="33"/>
      <c r="I328" s="33"/>
    </row>
    <row r="329" spans="1:9">
      <c r="A329" s="32"/>
      <c r="B329" s="33"/>
      <c r="C329" s="33"/>
      <c r="D329" s="33"/>
      <c r="E329" s="33"/>
      <c r="F329" s="33"/>
      <c r="G329" s="33"/>
      <c r="H329" s="33"/>
      <c r="I329" s="33"/>
    </row>
    <row r="330" spans="1:9">
      <c r="A330" s="32"/>
      <c r="B330" s="33"/>
      <c r="C330" s="33"/>
      <c r="D330" s="33"/>
      <c r="E330" s="33"/>
      <c r="F330" s="33"/>
      <c r="G330" s="33"/>
      <c r="H330" s="33"/>
      <c r="I330" s="33"/>
    </row>
    <row r="331" spans="1:9">
      <c r="A331" s="32"/>
      <c r="B331" s="33"/>
      <c r="C331" s="33"/>
      <c r="D331" s="33"/>
      <c r="E331" s="33"/>
      <c r="F331" s="33"/>
      <c r="G331" s="33"/>
      <c r="H331" s="33"/>
      <c r="I331" s="33"/>
    </row>
    <row r="332" spans="1:9">
      <c r="A332" s="32"/>
      <c r="B332" s="33"/>
      <c r="C332" s="33"/>
      <c r="D332" s="33"/>
      <c r="E332" s="33"/>
      <c r="F332" s="33"/>
      <c r="G332" s="33"/>
      <c r="H332" s="33"/>
      <c r="I332" s="33"/>
    </row>
    <row r="333" spans="1:9">
      <c r="A333" s="32"/>
      <c r="B333" s="33"/>
      <c r="C333" s="33"/>
      <c r="D333" s="33"/>
      <c r="E333" s="33"/>
      <c r="F333" s="33"/>
      <c r="G333" s="33"/>
      <c r="H333" s="33"/>
      <c r="I333" s="33"/>
    </row>
    <row r="334" spans="1:9">
      <c r="A334" s="32"/>
      <c r="B334" s="33"/>
      <c r="C334" s="33"/>
      <c r="D334" s="33"/>
      <c r="E334" s="33"/>
      <c r="F334" s="33"/>
      <c r="G334" s="33"/>
      <c r="H334" s="33"/>
      <c r="I334" s="33"/>
    </row>
    <row r="335" spans="1:9">
      <c r="A335" s="32"/>
      <c r="B335" s="33"/>
      <c r="C335" s="33"/>
      <c r="D335" s="33"/>
      <c r="E335" s="33"/>
      <c r="F335" s="33"/>
      <c r="G335" s="33"/>
      <c r="H335" s="33"/>
      <c r="I335" s="33"/>
    </row>
    <row r="336" spans="1:9">
      <c r="A336" s="32"/>
      <c r="B336" s="33"/>
      <c r="C336" s="33"/>
      <c r="D336" s="33"/>
      <c r="E336" s="33"/>
      <c r="F336" s="33"/>
      <c r="G336" s="33"/>
      <c r="H336" s="33"/>
      <c r="I336" s="33"/>
    </row>
    <row r="337" spans="1:9">
      <c r="A337" s="32"/>
      <c r="B337" s="33"/>
      <c r="C337" s="33"/>
      <c r="D337" s="33"/>
      <c r="E337" s="33"/>
      <c r="F337" s="33"/>
      <c r="G337" s="33"/>
      <c r="H337" s="33"/>
      <c r="I337" s="33"/>
    </row>
    <row r="338" spans="1:9">
      <c r="A338" s="32"/>
      <c r="B338" s="33"/>
      <c r="C338" s="33"/>
      <c r="D338" s="33"/>
      <c r="E338" s="33"/>
      <c r="F338" s="33"/>
      <c r="G338" s="33"/>
      <c r="H338" s="33"/>
      <c r="I338" s="33"/>
    </row>
    <row r="339" spans="1:9">
      <c r="A339" s="32"/>
      <c r="B339" s="33"/>
      <c r="C339" s="33"/>
      <c r="D339" s="33"/>
      <c r="E339" s="33"/>
      <c r="F339" s="33"/>
      <c r="G339" s="33"/>
      <c r="H339" s="33"/>
      <c r="I339" s="33"/>
    </row>
    <row r="340" spans="1:9">
      <c r="A340" s="32"/>
      <c r="B340" s="33"/>
      <c r="C340" s="33"/>
      <c r="D340" s="33"/>
      <c r="E340" s="33"/>
      <c r="F340" s="33"/>
      <c r="G340" s="33"/>
      <c r="H340" s="33"/>
      <c r="I340" s="33"/>
    </row>
    <row r="341" spans="1:9">
      <c r="A341" s="32"/>
      <c r="B341" s="33"/>
      <c r="C341" s="33"/>
      <c r="D341" s="33"/>
      <c r="E341" s="33"/>
      <c r="F341" s="33"/>
      <c r="G341" s="33"/>
      <c r="H341" s="33"/>
      <c r="I341" s="33"/>
    </row>
    <row r="342" spans="1:9">
      <c r="A342" s="32"/>
      <c r="B342" s="33"/>
      <c r="C342" s="33"/>
      <c r="D342" s="33"/>
      <c r="E342" s="33"/>
      <c r="F342" s="33"/>
      <c r="G342" s="33"/>
      <c r="H342" s="33"/>
      <c r="I342" s="33"/>
    </row>
    <row r="343" spans="1:9">
      <c r="A343" s="32"/>
      <c r="B343" s="33"/>
      <c r="C343" s="33"/>
      <c r="D343" s="33"/>
      <c r="E343" s="33"/>
      <c r="F343" s="33"/>
      <c r="G343" s="33"/>
      <c r="H343" s="33"/>
      <c r="I343" s="33"/>
    </row>
    <row r="344" spans="1:9">
      <c r="A344" s="32"/>
      <c r="B344" s="33"/>
      <c r="C344" s="33"/>
      <c r="D344" s="33"/>
      <c r="E344" s="33"/>
      <c r="F344" s="33"/>
      <c r="G344" s="33"/>
      <c r="H344" s="33"/>
      <c r="I344" s="33"/>
    </row>
    <row r="345" spans="1:9">
      <c r="A345" s="32"/>
      <c r="B345" s="33"/>
      <c r="C345" s="33"/>
      <c r="D345" s="33"/>
      <c r="E345" s="33"/>
      <c r="F345" s="33"/>
      <c r="G345" s="33"/>
      <c r="H345" s="33"/>
      <c r="I345" s="33"/>
    </row>
    <row r="346" spans="1:9">
      <c r="A346" s="32"/>
      <c r="B346" s="33"/>
      <c r="C346" s="33"/>
      <c r="D346" s="33"/>
      <c r="E346" s="33"/>
      <c r="F346" s="33"/>
      <c r="G346" s="33"/>
      <c r="H346" s="33"/>
      <c r="I346" s="33"/>
    </row>
    <row r="347" spans="1:9">
      <c r="A347" s="32"/>
      <c r="B347" s="33"/>
      <c r="C347" s="33"/>
      <c r="D347" s="33"/>
      <c r="E347" s="33"/>
      <c r="F347" s="33"/>
      <c r="G347" s="33"/>
      <c r="H347" s="33"/>
      <c r="I347" s="33"/>
    </row>
    <row r="348" spans="1:9">
      <c r="A348" s="32"/>
      <c r="B348" s="33"/>
      <c r="C348" s="33"/>
      <c r="D348" s="33"/>
      <c r="E348" s="33"/>
      <c r="F348" s="33"/>
      <c r="G348" s="33"/>
      <c r="H348" s="33"/>
      <c r="I348" s="33"/>
    </row>
    <row r="349" spans="1:9">
      <c r="A349" s="32"/>
      <c r="B349" s="33"/>
      <c r="C349" s="33"/>
      <c r="D349" s="33"/>
      <c r="E349" s="33"/>
      <c r="F349" s="33"/>
      <c r="G349" s="33"/>
      <c r="H349" s="33"/>
      <c r="I349" s="33"/>
    </row>
    <row r="350" spans="1:9">
      <c r="A350" s="32"/>
      <c r="B350" s="33"/>
      <c r="C350" s="33"/>
      <c r="D350" s="33"/>
      <c r="E350" s="33"/>
      <c r="F350" s="33"/>
      <c r="G350" s="33"/>
      <c r="H350" s="33"/>
      <c r="I350" s="33"/>
    </row>
    <row r="351" spans="1:9">
      <c r="A351" s="32"/>
      <c r="B351" s="33"/>
      <c r="C351" s="33"/>
      <c r="D351" s="33"/>
      <c r="E351" s="33"/>
      <c r="F351" s="33"/>
      <c r="G351" s="33"/>
      <c r="H351" s="33"/>
      <c r="I351" s="33"/>
    </row>
    <row r="352" spans="1:9">
      <c r="A352" s="32"/>
      <c r="B352" s="33"/>
      <c r="C352" s="33"/>
      <c r="D352" s="33"/>
      <c r="E352" s="33"/>
      <c r="F352" s="33"/>
      <c r="G352" s="33"/>
      <c r="H352" s="33"/>
      <c r="I352" s="33"/>
    </row>
    <row r="353" spans="1:9">
      <c r="A353" s="32"/>
      <c r="B353" s="33"/>
      <c r="C353" s="33"/>
      <c r="D353" s="33"/>
      <c r="E353" s="33"/>
      <c r="F353" s="33"/>
      <c r="G353" s="33"/>
      <c r="H353" s="33"/>
      <c r="I353" s="33"/>
    </row>
    <row r="354" spans="1:9">
      <c r="A354" s="32"/>
      <c r="B354" s="33"/>
      <c r="C354" s="33"/>
      <c r="D354" s="33"/>
      <c r="E354" s="33"/>
      <c r="F354" s="33"/>
      <c r="G354" s="33"/>
      <c r="H354" s="33"/>
      <c r="I354" s="33"/>
    </row>
    <row r="355" spans="1:9">
      <c r="A355" s="32"/>
      <c r="B355" s="33"/>
      <c r="C355" s="33"/>
      <c r="D355" s="33"/>
      <c r="E355" s="33"/>
      <c r="F355" s="33"/>
      <c r="G355" s="33"/>
      <c r="H355" s="33"/>
      <c r="I355" s="33"/>
    </row>
    <row r="356" spans="1:9">
      <c r="A356" s="32"/>
      <c r="B356" s="33"/>
      <c r="C356" s="33"/>
      <c r="D356" s="33"/>
      <c r="E356" s="33"/>
      <c r="F356" s="33"/>
      <c r="G356" s="33"/>
      <c r="H356" s="33"/>
      <c r="I356" s="33"/>
    </row>
    <row r="357" spans="1:9">
      <c r="A357" s="32"/>
      <c r="B357" s="33"/>
      <c r="C357" s="33"/>
      <c r="D357" s="33"/>
      <c r="E357" s="33"/>
      <c r="F357" s="33"/>
      <c r="G357" s="33"/>
      <c r="H357" s="33"/>
      <c r="I357" s="33"/>
    </row>
    <row r="358" spans="1:9">
      <c r="A358" s="32"/>
      <c r="B358" s="33"/>
      <c r="C358" s="33"/>
      <c r="D358" s="33"/>
      <c r="E358" s="33"/>
      <c r="F358" s="33"/>
      <c r="G358" s="33"/>
      <c r="H358" s="33"/>
      <c r="I358" s="33"/>
    </row>
    <row r="359" spans="1:9">
      <c r="A359" s="32"/>
      <c r="B359" s="33"/>
      <c r="C359" s="33"/>
      <c r="D359" s="33"/>
      <c r="E359" s="33"/>
      <c r="F359" s="33"/>
      <c r="G359" s="33"/>
      <c r="H359" s="33"/>
      <c r="I359" s="33"/>
    </row>
    <row r="360" spans="1:9">
      <c r="A360" s="32"/>
      <c r="B360" s="33"/>
      <c r="C360" s="33"/>
      <c r="D360" s="33"/>
      <c r="E360" s="33"/>
      <c r="F360" s="33"/>
      <c r="G360" s="33"/>
      <c r="H360" s="33"/>
      <c r="I360" s="33"/>
    </row>
    <row r="361" spans="1:9">
      <c r="A361" s="32"/>
      <c r="B361" s="33"/>
      <c r="C361" s="33"/>
      <c r="D361" s="33"/>
      <c r="E361" s="33"/>
      <c r="F361" s="33"/>
      <c r="G361" s="33"/>
      <c r="H361" s="33"/>
      <c r="I361" s="33"/>
    </row>
    <row r="362" spans="1:9">
      <c r="A362" s="32"/>
      <c r="B362" s="33"/>
      <c r="C362" s="33"/>
      <c r="D362" s="33"/>
      <c r="E362" s="33"/>
      <c r="F362" s="33"/>
      <c r="G362" s="33"/>
      <c r="H362" s="33"/>
      <c r="I362" s="33"/>
    </row>
    <row r="363" spans="1:9">
      <c r="A363" s="32"/>
      <c r="B363" s="33"/>
      <c r="C363" s="33"/>
      <c r="D363" s="33"/>
      <c r="E363" s="33"/>
      <c r="F363" s="33"/>
      <c r="G363" s="33"/>
      <c r="H363" s="33"/>
      <c r="I363" s="33"/>
    </row>
    <row r="364" spans="1:9">
      <c r="A364" s="32"/>
      <c r="B364" s="33"/>
      <c r="C364" s="33"/>
      <c r="D364" s="33"/>
      <c r="E364" s="33"/>
      <c r="F364" s="33"/>
      <c r="G364" s="33"/>
      <c r="H364" s="33"/>
      <c r="I364" s="33"/>
    </row>
    <row r="365" spans="1:9">
      <c r="A365" s="32"/>
      <c r="B365" s="33"/>
      <c r="C365" s="33"/>
      <c r="D365" s="33"/>
      <c r="E365" s="33"/>
      <c r="F365" s="33"/>
      <c r="G365" s="33"/>
      <c r="H365" s="33"/>
      <c r="I365" s="33"/>
    </row>
    <row r="366" spans="1:9">
      <c r="A366" s="32"/>
      <c r="B366" s="33"/>
      <c r="C366" s="33"/>
      <c r="D366" s="33"/>
      <c r="E366" s="33"/>
      <c r="F366" s="33"/>
      <c r="G366" s="33"/>
      <c r="H366" s="33"/>
      <c r="I366" s="33"/>
    </row>
    <row r="367" spans="1:9">
      <c r="A367" s="32"/>
      <c r="B367" s="33"/>
      <c r="C367" s="33"/>
      <c r="D367" s="33"/>
      <c r="E367" s="33"/>
      <c r="F367" s="33"/>
      <c r="G367" s="33"/>
      <c r="H367" s="33"/>
      <c r="I367" s="33"/>
    </row>
    <row r="368" spans="1:9">
      <c r="A368" s="32"/>
      <c r="B368" s="33"/>
      <c r="C368" s="33"/>
      <c r="D368" s="33"/>
      <c r="E368" s="33"/>
      <c r="F368" s="33"/>
      <c r="G368" s="33"/>
      <c r="H368" s="33"/>
      <c r="I368" s="33"/>
    </row>
    <row r="369" spans="1:9">
      <c r="A369" s="32"/>
      <c r="B369" s="33"/>
      <c r="C369" s="33"/>
      <c r="D369" s="33"/>
      <c r="E369" s="33"/>
      <c r="F369" s="33"/>
      <c r="G369" s="33"/>
      <c r="H369" s="33"/>
      <c r="I369" s="33"/>
    </row>
    <row r="370" spans="1:9">
      <c r="A370" s="32"/>
      <c r="B370" s="33"/>
      <c r="C370" s="33"/>
      <c r="D370" s="33"/>
      <c r="E370" s="33"/>
      <c r="F370" s="33"/>
      <c r="G370" s="33"/>
      <c r="H370" s="33"/>
      <c r="I370" s="33"/>
    </row>
    <row r="371" spans="1:9">
      <c r="A371" s="32"/>
      <c r="B371" s="33"/>
      <c r="C371" s="33"/>
      <c r="D371" s="33"/>
      <c r="E371" s="33"/>
      <c r="F371" s="33"/>
      <c r="G371" s="33"/>
      <c r="H371" s="33"/>
      <c r="I371" s="33"/>
    </row>
    <row r="372" spans="1:9">
      <c r="A372" s="32"/>
      <c r="B372" s="33"/>
      <c r="C372" s="33"/>
      <c r="D372" s="33"/>
      <c r="E372" s="33"/>
      <c r="F372" s="33"/>
      <c r="G372" s="33"/>
      <c r="H372" s="33"/>
      <c r="I372" s="33"/>
    </row>
    <row r="373" spans="1:9">
      <c r="A373" s="32"/>
      <c r="B373" s="33"/>
      <c r="C373" s="33"/>
      <c r="D373" s="33"/>
      <c r="E373" s="33"/>
      <c r="F373" s="33"/>
      <c r="G373" s="33"/>
      <c r="H373" s="33"/>
      <c r="I373" s="33"/>
    </row>
    <row r="374" spans="1:9">
      <c r="A374" s="32"/>
      <c r="B374" s="33"/>
      <c r="C374" s="33"/>
      <c r="D374" s="33"/>
      <c r="E374" s="33"/>
      <c r="F374" s="33"/>
      <c r="G374" s="33"/>
      <c r="H374" s="33"/>
      <c r="I374" s="33"/>
    </row>
    <row r="375" spans="1:9">
      <c r="A375" s="32"/>
      <c r="B375" s="33"/>
      <c r="C375" s="33"/>
      <c r="D375" s="33"/>
      <c r="E375" s="33"/>
      <c r="F375" s="33"/>
      <c r="G375" s="33"/>
      <c r="H375" s="33"/>
      <c r="I375" s="33"/>
    </row>
    <row r="376" spans="1:9">
      <c r="A376" s="32"/>
      <c r="B376" s="33"/>
      <c r="C376" s="33"/>
      <c r="D376" s="33"/>
      <c r="E376" s="33"/>
      <c r="F376" s="33"/>
      <c r="G376" s="33"/>
      <c r="H376" s="33"/>
      <c r="I376" s="33"/>
    </row>
    <row r="377" spans="1:9">
      <c r="A377" s="32"/>
      <c r="B377" s="33"/>
      <c r="C377" s="33"/>
      <c r="D377" s="33"/>
      <c r="E377" s="33"/>
      <c r="F377" s="33"/>
      <c r="G377" s="33"/>
      <c r="H377" s="33"/>
      <c r="I377" s="33"/>
    </row>
    <row r="378" spans="1:9">
      <c r="A378" s="32"/>
      <c r="B378" s="33"/>
      <c r="C378" s="33"/>
      <c r="D378" s="33"/>
      <c r="E378" s="33"/>
      <c r="F378" s="33"/>
      <c r="G378" s="33"/>
      <c r="H378" s="33"/>
      <c r="I378" s="33"/>
    </row>
    <row r="379" spans="1:9">
      <c r="A379" s="32"/>
      <c r="B379" s="33"/>
      <c r="C379" s="33"/>
      <c r="D379" s="33"/>
      <c r="E379" s="33"/>
      <c r="F379" s="33"/>
      <c r="G379" s="33"/>
      <c r="H379" s="33"/>
      <c r="I379" s="33"/>
    </row>
    <row r="380" spans="1:9">
      <c r="A380" s="32"/>
      <c r="B380" s="33"/>
      <c r="C380" s="33"/>
      <c r="D380" s="33"/>
      <c r="E380" s="33"/>
      <c r="F380" s="33"/>
      <c r="G380" s="33"/>
      <c r="H380" s="33"/>
      <c r="I380" s="33"/>
    </row>
    <row r="381" spans="1:9">
      <c r="A381" s="32"/>
      <c r="B381" s="33"/>
      <c r="C381" s="33"/>
      <c r="D381" s="33"/>
      <c r="E381" s="33"/>
      <c r="F381" s="33"/>
      <c r="G381" s="33"/>
      <c r="H381" s="33"/>
      <c r="I381" s="33"/>
    </row>
    <row r="382" spans="1:9">
      <c r="A382" s="32"/>
      <c r="B382" s="33"/>
      <c r="C382" s="33"/>
      <c r="D382" s="33"/>
      <c r="E382" s="33"/>
      <c r="F382" s="33"/>
      <c r="G382" s="33"/>
      <c r="H382" s="33"/>
      <c r="I382" s="33"/>
    </row>
    <row r="383" spans="1:9">
      <c r="A383" s="32"/>
      <c r="B383" s="33"/>
      <c r="C383" s="33"/>
      <c r="D383" s="33"/>
      <c r="E383" s="33"/>
      <c r="F383" s="33"/>
      <c r="G383" s="33"/>
      <c r="H383" s="33"/>
      <c r="I383" s="33"/>
    </row>
    <row r="384" spans="1:9">
      <c r="A384" s="32"/>
      <c r="B384" s="33"/>
      <c r="C384" s="33"/>
      <c r="D384" s="33"/>
      <c r="E384" s="33"/>
      <c r="F384" s="33"/>
      <c r="G384" s="33"/>
      <c r="H384" s="33"/>
      <c r="I384" s="33"/>
    </row>
    <row r="385" spans="1:9">
      <c r="A385" s="32"/>
      <c r="B385" s="33"/>
      <c r="C385" s="33"/>
      <c r="D385" s="33"/>
      <c r="E385" s="33"/>
      <c r="F385" s="33"/>
      <c r="G385" s="33"/>
      <c r="H385" s="33"/>
      <c r="I385" s="33"/>
    </row>
    <row r="386" spans="1:9">
      <c r="A386" s="32"/>
      <c r="B386" s="33"/>
      <c r="C386" s="33"/>
      <c r="D386" s="33"/>
      <c r="E386" s="33"/>
      <c r="F386" s="33"/>
      <c r="G386" s="33"/>
      <c r="H386" s="33"/>
      <c r="I386" s="33"/>
    </row>
    <row r="387" spans="1:9">
      <c r="A387" s="32"/>
      <c r="B387" s="33"/>
      <c r="C387" s="33"/>
      <c r="D387" s="33"/>
      <c r="E387" s="33"/>
      <c r="F387" s="33"/>
      <c r="G387" s="33"/>
      <c r="H387" s="33"/>
      <c r="I387" s="33"/>
    </row>
    <row r="388" spans="1:9">
      <c r="A388" s="32"/>
      <c r="B388" s="33"/>
      <c r="C388" s="33"/>
      <c r="D388" s="33"/>
      <c r="E388" s="33"/>
      <c r="F388" s="33"/>
      <c r="G388" s="33"/>
      <c r="H388" s="33"/>
      <c r="I388" s="33"/>
    </row>
    <row r="389" spans="1:9">
      <c r="A389" s="32"/>
      <c r="B389" s="33"/>
      <c r="C389" s="33"/>
      <c r="D389" s="33"/>
      <c r="E389" s="33"/>
      <c r="F389" s="33"/>
      <c r="G389" s="33"/>
      <c r="H389" s="33"/>
      <c r="I389" s="33"/>
    </row>
    <row r="390" spans="1:9">
      <c r="A390" s="32"/>
      <c r="B390" s="33"/>
      <c r="C390" s="33"/>
      <c r="D390" s="33"/>
      <c r="E390" s="33"/>
      <c r="F390" s="33"/>
      <c r="G390" s="33"/>
      <c r="H390" s="33"/>
      <c r="I390" s="33"/>
    </row>
    <row r="391" spans="1:9">
      <c r="A391" s="32"/>
      <c r="B391" s="33"/>
      <c r="C391" s="33"/>
      <c r="D391" s="33"/>
      <c r="E391" s="33"/>
      <c r="F391" s="33"/>
      <c r="G391" s="33"/>
      <c r="H391" s="33"/>
      <c r="I391" s="33"/>
    </row>
    <row r="392" spans="1:9">
      <c r="A392" s="32"/>
      <c r="B392" s="33"/>
      <c r="C392" s="33"/>
      <c r="D392" s="33"/>
      <c r="E392" s="33"/>
      <c r="F392" s="33"/>
      <c r="G392" s="33"/>
      <c r="H392" s="33"/>
      <c r="I392" s="33"/>
    </row>
    <row r="393" spans="1:9">
      <c r="A393" s="32"/>
      <c r="B393" s="33"/>
      <c r="C393" s="33"/>
      <c r="D393" s="33"/>
      <c r="E393" s="33"/>
      <c r="F393" s="33"/>
      <c r="G393" s="33"/>
      <c r="H393" s="33"/>
      <c r="I393" s="33"/>
    </row>
  </sheetData>
  <mergeCells count="186">
    <mergeCell ref="A1:A2"/>
    <mergeCell ref="B1:B2"/>
    <mergeCell ref="C1:H1"/>
    <mergeCell ref="I1:I2"/>
    <mergeCell ref="C2:H2"/>
    <mergeCell ref="A3:A44"/>
    <mergeCell ref="D3:D4"/>
    <mergeCell ref="E3:E4"/>
    <mergeCell ref="F3:F4"/>
    <mergeCell ref="D24:D25"/>
    <mergeCell ref="D38:D39"/>
    <mergeCell ref="E38:E39"/>
    <mergeCell ref="F38:F39"/>
    <mergeCell ref="G3:G4"/>
    <mergeCell ref="G24:G25"/>
    <mergeCell ref="G38:G39"/>
    <mergeCell ref="H3:H4"/>
    <mergeCell ref="D10:D11"/>
    <mergeCell ref="E10:E11"/>
    <mergeCell ref="F10:F11"/>
    <mergeCell ref="G10:G11"/>
    <mergeCell ref="H10:H11"/>
    <mergeCell ref="I11:I12"/>
    <mergeCell ref="I13:I14"/>
    <mergeCell ref="D17:D18"/>
    <mergeCell ref="E17:E18"/>
    <mergeCell ref="F17:F18"/>
    <mergeCell ref="G17:G18"/>
    <mergeCell ref="H17:H18"/>
    <mergeCell ref="H24:H25"/>
    <mergeCell ref="D31:D32"/>
    <mergeCell ref="E31:E32"/>
    <mergeCell ref="F31:F32"/>
    <mergeCell ref="G31:G32"/>
    <mergeCell ref="H31:H32"/>
    <mergeCell ref="E24:E25"/>
    <mergeCell ref="F24:F25"/>
    <mergeCell ref="H38:H39"/>
    <mergeCell ref="A45:A86"/>
    <mergeCell ref="D45:D46"/>
    <mergeCell ref="E45:E46"/>
    <mergeCell ref="F45:F46"/>
    <mergeCell ref="G45:G46"/>
    <mergeCell ref="H45:H46"/>
    <mergeCell ref="D59:D60"/>
    <mergeCell ref="E59:E60"/>
    <mergeCell ref="F66:F67"/>
    <mergeCell ref="D73:D74"/>
    <mergeCell ref="E73:E74"/>
    <mergeCell ref="F73:F74"/>
    <mergeCell ref="G73:G74"/>
    <mergeCell ref="H73:H74"/>
    <mergeCell ref="I45:I46"/>
    <mergeCell ref="D52:D53"/>
    <mergeCell ref="E52:E53"/>
    <mergeCell ref="F52:F53"/>
    <mergeCell ref="G52:G53"/>
    <mergeCell ref="H52:H53"/>
    <mergeCell ref="I52:I53"/>
    <mergeCell ref="G66:G67"/>
    <mergeCell ref="F59:F60"/>
    <mergeCell ref="G59:G60"/>
    <mergeCell ref="H59:H60"/>
    <mergeCell ref="I59:I60"/>
    <mergeCell ref="H66:H67"/>
    <mergeCell ref="I66:I67"/>
    <mergeCell ref="I73:I74"/>
    <mergeCell ref="D66:D67"/>
    <mergeCell ref="E66:E67"/>
    <mergeCell ref="H94:H95"/>
    <mergeCell ref="I94:I95"/>
    <mergeCell ref="H87:H88"/>
    <mergeCell ref="I87:I88"/>
    <mergeCell ref="D80:D81"/>
    <mergeCell ref="E80:E81"/>
    <mergeCell ref="F80:F81"/>
    <mergeCell ref="G80:G81"/>
    <mergeCell ref="D87:D88"/>
    <mergeCell ref="E87:E88"/>
    <mergeCell ref="F87:F88"/>
    <mergeCell ref="G87:G88"/>
    <mergeCell ref="H80:H81"/>
    <mergeCell ref="I80:I81"/>
    <mergeCell ref="H101:H102"/>
    <mergeCell ref="I101:I102"/>
    <mergeCell ref="D108:D109"/>
    <mergeCell ref="E108:E109"/>
    <mergeCell ref="F108:F109"/>
    <mergeCell ref="G108:G109"/>
    <mergeCell ref="H115:H116"/>
    <mergeCell ref="I115:I116"/>
    <mergeCell ref="H108:H109"/>
    <mergeCell ref="I108:I109"/>
    <mergeCell ref="D101:D102"/>
    <mergeCell ref="E101:E102"/>
    <mergeCell ref="F101:F102"/>
    <mergeCell ref="G101:G102"/>
    <mergeCell ref="H122:H123"/>
    <mergeCell ref="G129:G130"/>
    <mergeCell ref="D136:D137"/>
    <mergeCell ref="E136:E137"/>
    <mergeCell ref="F136:F137"/>
    <mergeCell ref="G136:G137"/>
    <mergeCell ref="D115:D116"/>
    <mergeCell ref="E115:E116"/>
    <mergeCell ref="F115:F116"/>
    <mergeCell ref="G115:G116"/>
    <mergeCell ref="H157:H158"/>
    <mergeCell ref="G150:G151"/>
    <mergeCell ref="I143:I144"/>
    <mergeCell ref="I164:I165"/>
    <mergeCell ref="I178:I179"/>
    <mergeCell ref="D157:D158"/>
    <mergeCell ref="H143:H144"/>
    <mergeCell ref="H129:H130"/>
    <mergeCell ref="I129:I130"/>
    <mergeCell ref="F129:F130"/>
    <mergeCell ref="E199:E200"/>
    <mergeCell ref="F199:F200"/>
    <mergeCell ref="G199:G200"/>
    <mergeCell ref="F157:F158"/>
    <mergeCell ref="G157:G158"/>
    <mergeCell ref="H199:H200"/>
    <mergeCell ref="I136:I137"/>
    <mergeCell ref="D143:D144"/>
    <mergeCell ref="E143:E144"/>
    <mergeCell ref="F143:F144"/>
    <mergeCell ref="G143:G144"/>
    <mergeCell ref="F150:F151"/>
    <mergeCell ref="D171:D172"/>
    <mergeCell ref="E171:E172"/>
    <mergeCell ref="H136:H137"/>
    <mergeCell ref="G185:G186"/>
    <mergeCell ref="G171:G172"/>
    <mergeCell ref="H171:H172"/>
    <mergeCell ref="H185:H186"/>
    <mergeCell ref="I171:I172"/>
    <mergeCell ref="I185:I186"/>
    <mergeCell ref="D185:D186"/>
    <mergeCell ref="E185:E186"/>
    <mergeCell ref="E157:E158"/>
    <mergeCell ref="A206:B206"/>
    <mergeCell ref="A207:I207"/>
    <mergeCell ref="A208:I208"/>
    <mergeCell ref="A157:A163"/>
    <mergeCell ref="H150:H151"/>
    <mergeCell ref="I150:I151"/>
    <mergeCell ref="D164:D165"/>
    <mergeCell ref="E164:E165"/>
    <mergeCell ref="A199:A205"/>
    <mergeCell ref="F164:F165"/>
    <mergeCell ref="G164:G165"/>
    <mergeCell ref="H164:H165"/>
    <mergeCell ref="I157:I158"/>
    <mergeCell ref="D178:D179"/>
    <mergeCell ref="E178:E179"/>
    <mergeCell ref="F178:F179"/>
    <mergeCell ref="G178:G179"/>
    <mergeCell ref="H178:H179"/>
    <mergeCell ref="F171:F172"/>
    <mergeCell ref="A164:A184"/>
    <mergeCell ref="H192:H193"/>
    <mergeCell ref="I192:I193"/>
    <mergeCell ref="F185:F186"/>
    <mergeCell ref="D199:D200"/>
    <mergeCell ref="D192:D193"/>
    <mergeCell ref="E192:E193"/>
    <mergeCell ref="F192:F193"/>
    <mergeCell ref="G192:G193"/>
    <mergeCell ref="A87:A100"/>
    <mergeCell ref="A101:A128"/>
    <mergeCell ref="D150:D151"/>
    <mergeCell ref="E150:E151"/>
    <mergeCell ref="A150:A156"/>
    <mergeCell ref="A129:A149"/>
    <mergeCell ref="D129:D130"/>
    <mergeCell ref="E129:E130"/>
    <mergeCell ref="D122:D123"/>
    <mergeCell ref="E122:E123"/>
    <mergeCell ref="A185:A198"/>
    <mergeCell ref="F122:F123"/>
    <mergeCell ref="G122:G123"/>
    <mergeCell ref="F94:F95"/>
    <mergeCell ref="G94:G95"/>
    <mergeCell ref="D94:D95"/>
    <mergeCell ref="E94:E95"/>
  </mergeCells>
  <phoneticPr fontId="5" type="noConversion"/>
  <pageMargins left="0.27559055118110237" right="0.19685039370078741" top="1.0236220472440944" bottom="0.55118110236220474" header="0.51181102362204722" footer="0.31496062992125984"/>
  <pageSetup paperSize="9" orientation="portrait" r:id="rId1"/>
  <headerFooter alignWithMargins="0">
    <oddHeader>&amp;C&amp;"新細明體,粗體"&amp;16&amp;A</oddHeader>
    <oddFooter>第 &amp;P 頁，共 &amp;N 頁</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5</vt:i4>
      </vt:variant>
    </vt:vector>
  </HeadingPairs>
  <TitlesOfParts>
    <vt:vector size="6" baseType="lpstr">
      <vt:lpstr>臺南市中西區影響中度商業用地區域因素評價基準明細表</vt:lpstr>
      <vt:lpstr>臺南市中西區影響中度商業用地區域因素評價基準明細表!_Hlk320279254</vt:lpstr>
      <vt:lpstr>臺南市中西區影響中度商業用地區域因素評價基準明細表!OLE_LINK4</vt:lpstr>
      <vt:lpstr>臺南市中西區影響中度商業用地區域因素評價基準明細表!OLE_LINK5</vt:lpstr>
      <vt:lpstr>臺南市中西區影響中度商業用地區域因素評價基準明細表!Print_Area</vt:lpstr>
      <vt:lpstr>臺南市中西區影響中度商業用地區域因素評價基準明細表!Print_Titles</vt:lpstr>
    </vt:vector>
  </TitlesOfParts>
  <Company>安南地政事務所</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user3</cp:lastModifiedBy>
  <cp:lastPrinted>2015-04-16T07:13:48Z</cp:lastPrinted>
  <dcterms:created xsi:type="dcterms:W3CDTF">2012-07-25T05:45:35Z</dcterms:created>
  <dcterms:modified xsi:type="dcterms:W3CDTF">2015-05-28T01:08:29Z</dcterms:modified>
</cp:coreProperties>
</file>