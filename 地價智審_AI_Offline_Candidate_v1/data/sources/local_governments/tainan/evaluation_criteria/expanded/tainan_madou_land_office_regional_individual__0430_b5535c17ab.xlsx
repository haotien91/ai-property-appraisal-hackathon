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60" windowWidth="15600" windowHeight="9120"/>
  </bookViews>
  <sheets>
    <sheet name="臺南市00區影響其他用地區域因素評價基準明細表(104草案) " sheetId="1" r:id="rId1"/>
  </sheets>
  <definedNames>
    <definedName name="_Hlk320279254" localSheetId="0">'臺南市00區影響其他用地區域因素評價基準明細表(104草案) '!$C$13</definedName>
    <definedName name="OLE_LINK3" localSheetId="0">'臺南市00區影響其他用地區域因素評價基準明細表(104草案) '!#REF!</definedName>
    <definedName name="OLE_LINK4" localSheetId="0">'臺南市00區影響其他用地區域因素評價基準明細表(104草案) '!#REF!</definedName>
    <definedName name="OLE_LINK5" localSheetId="0">'臺南市00區影響其他用地區域因素評價基準明細表(104草案) '!#REF!</definedName>
    <definedName name="_xlnm.Print_Area" localSheetId="0">'臺南市00區影響其他用地區域因素評價基準明細表(104草案) '!$A$1:$I$179</definedName>
    <definedName name="Print_Area_MI">#REF!</definedName>
    <definedName name="_xlnm.Print_Titles" localSheetId="0">'臺南市00區影響其他用地區域因素評價基準明細表(104草案) '!$2:$3</definedName>
  </definedNames>
  <calcPr calcId="125725"/>
</workbook>
</file>

<file path=xl/calcChain.xml><?xml version="1.0" encoding="utf-8"?>
<calcChain xmlns="http://schemas.openxmlformats.org/spreadsheetml/2006/main">
  <c r="H171" i="1"/>
  <c r="G170"/>
  <c r="F169"/>
  <c r="F170" s="1"/>
  <c r="F171" s="1"/>
  <c r="E168"/>
  <c r="E169" s="1"/>
  <c r="E170" s="1"/>
  <c r="E171" s="1"/>
  <c r="D168"/>
  <c r="D169" s="1"/>
  <c r="D170" s="1"/>
  <c r="D171" s="1"/>
  <c r="E167"/>
  <c r="F167" s="1"/>
  <c r="H164"/>
  <c r="G163"/>
  <c r="G164" s="1"/>
  <c r="F162"/>
  <c r="F163" s="1"/>
  <c r="F164" s="1"/>
  <c r="E161"/>
  <c r="E162" s="1"/>
  <c r="E163" s="1"/>
  <c r="E164" s="1"/>
  <c r="D161"/>
  <c r="D162" s="1"/>
  <c r="D163" s="1"/>
  <c r="D164" s="1"/>
  <c r="F160"/>
  <c r="E160"/>
  <c r="H157"/>
  <c r="G156"/>
  <c r="F155"/>
  <c r="G155" s="1"/>
  <c r="H155" s="1"/>
  <c r="E154"/>
  <c r="D154"/>
  <c r="D155" s="1"/>
  <c r="D156" s="1"/>
  <c r="D157" s="1"/>
  <c r="F153"/>
  <c r="G153" s="1"/>
  <c r="H153" s="1"/>
  <c r="E153"/>
  <c r="H150"/>
  <c r="G149"/>
  <c r="F148"/>
  <c r="G148" s="1"/>
  <c r="H148" s="1"/>
  <c r="E147"/>
  <c r="D147"/>
  <c r="D148" s="1"/>
  <c r="D149" s="1"/>
  <c r="D150" s="1"/>
  <c r="F146"/>
  <c r="G146" s="1"/>
  <c r="H146" s="1"/>
  <c r="E146"/>
  <c r="H143"/>
  <c r="G142"/>
  <c r="G143" s="1"/>
  <c r="F142"/>
  <c r="F143" s="1"/>
  <c r="F141"/>
  <c r="E140"/>
  <c r="E141" s="1"/>
  <c r="E142" s="1"/>
  <c r="E143" s="1"/>
  <c r="D140"/>
  <c r="D141" s="1"/>
  <c r="D142" s="1"/>
  <c r="D143" s="1"/>
  <c r="E139"/>
  <c r="F139" s="1"/>
  <c r="H136"/>
  <c r="G135"/>
  <c r="G136" s="1"/>
  <c r="F134"/>
  <c r="F135" s="1"/>
  <c r="F136" s="1"/>
  <c r="D134"/>
  <c r="D135" s="1"/>
  <c r="D136" s="1"/>
  <c r="E133"/>
  <c r="E134" s="1"/>
  <c r="E135" s="1"/>
  <c r="E136" s="1"/>
  <c r="D133"/>
  <c r="F132"/>
  <c r="E132"/>
  <c r="H129"/>
  <c r="G128"/>
  <c r="F128"/>
  <c r="F129" s="1"/>
  <c r="F127"/>
  <c r="E126"/>
  <c r="E127" s="1"/>
  <c r="E128" s="1"/>
  <c r="E129" s="1"/>
  <c r="D126"/>
  <c r="D127" s="1"/>
  <c r="D128" s="1"/>
  <c r="D129" s="1"/>
  <c r="E125"/>
  <c r="F125" s="1"/>
  <c r="H122"/>
  <c r="G121"/>
  <c r="G122" s="1"/>
  <c r="F120"/>
  <c r="F121" s="1"/>
  <c r="F122" s="1"/>
  <c r="D120"/>
  <c r="D121" s="1"/>
  <c r="D122" s="1"/>
  <c r="E119"/>
  <c r="E120" s="1"/>
  <c r="E121" s="1"/>
  <c r="E122" s="1"/>
  <c r="D119"/>
  <c r="E118"/>
  <c r="F118" s="1"/>
  <c r="H115"/>
  <c r="G114"/>
  <c r="G115" s="1"/>
  <c r="F113"/>
  <c r="F114" s="1"/>
  <c r="F115" s="1"/>
  <c r="E112"/>
  <c r="E113" s="1"/>
  <c r="E114" s="1"/>
  <c r="E115" s="1"/>
  <c r="D112"/>
  <c r="D113" s="1"/>
  <c r="D114" s="1"/>
  <c r="D115" s="1"/>
  <c r="E111"/>
  <c r="F111" s="1"/>
  <c r="H108"/>
  <c r="G107"/>
  <c r="G108" s="1"/>
  <c r="F106"/>
  <c r="F107" s="1"/>
  <c r="F108" s="1"/>
  <c r="D106"/>
  <c r="D107" s="1"/>
  <c r="D108" s="1"/>
  <c r="E105"/>
  <c r="E106" s="1"/>
  <c r="E107" s="1"/>
  <c r="E108" s="1"/>
  <c r="D105"/>
  <c r="E104"/>
  <c r="F104" s="1"/>
  <c r="H101"/>
  <c r="G100"/>
  <c r="F99"/>
  <c r="G99" s="1"/>
  <c r="H99" s="1"/>
  <c r="D99"/>
  <c r="D100" s="1"/>
  <c r="D101" s="1"/>
  <c r="E98"/>
  <c r="D98"/>
  <c r="E97"/>
  <c r="F97" s="1"/>
  <c r="G97" s="1"/>
  <c r="H97" s="1"/>
  <c r="G93"/>
  <c r="G92"/>
  <c r="H92" s="1"/>
  <c r="F92"/>
  <c r="F93" s="1"/>
  <c r="F94" s="1"/>
  <c r="E91"/>
  <c r="D91"/>
  <c r="D92" s="1"/>
  <c r="D93" s="1"/>
  <c r="D94" s="1"/>
  <c r="E90"/>
  <c r="F90" s="1"/>
  <c r="G90" s="1"/>
  <c r="H90" s="1"/>
  <c r="H87"/>
  <c r="G86"/>
  <c r="F86"/>
  <c r="F87" s="1"/>
  <c r="G85"/>
  <c r="H85" s="1"/>
  <c r="F85"/>
  <c r="E84"/>
  <c r="D84"/>
  <c r="D85" s="1"/>
  <c r="D86" s="1"/>
  <c r="D87" s="1"/>
  <c r="E83"/>
  <c r="F83" s="1"/>
  <c r="G83" s="1"/>
  <c r="H83" s="1"/>
  <c r="D77"/>
  <c r="D78" s="1"/>
  <c r="D79" s="1"/>
  <c r="D80" s="1"/>
  <c r="F76"/>
  <c r="E76"/>
  <c r="E77" s="1"/>
  <c r="E78" s="1"/>
  <c r="E79" s="1"/>
  <c r="E80" s="1"/>
  <c r="G73"/>
  <c r="H72"/>
  <c r="F72"/>
  <c r="F73" s="1"/>
  <c r="H71"/>
  <c r="G71"/>
  <c r="E71"/>
  <c r="E72" s="1"/>
  <c r="E73" s="1"/>
  <c r="F70"/>
  <c r="G70" s="1"/>
  <c r="H70" s="1"/>
  <c r="D70"/>
  <c r="D71" s="1"/>
  <c r="D72" s="1"/>
  <c r="D73" s="1"/>
  <c r="E69"/>
  <c r="F69" s="1"/>
  <c r="G69" s="1"/>
  <c r="H69" s="1"/>
  <c r="G66"/>
  <c r="H65"/>
  <c r="F65"/>
  <c r="F66" s="1"/>
  <c r="G64"/>
  <c r="H64" s="1"/>
  <c r="E64"/>
  <c r="E65" s="1"/>
  <c r="E66" s="1"/>
  <c r="F63"/>
  <c r="G63" s="1"/>
  <c r="H63" s="1"/>
  <c r="D63"/>
  <c r="D64" s="1"/>
  <c r="D65" s="1"/>
  <c r="D66" s="1"/>
  <c r="E62"/>
  <c r="F62" s="1"/>
  <c r="G62" s="1"/>
  <c r="H62" s="1"/>
  <c r="G59"/>
  <c r="H58"/>
  <c r="F58"/>
  <c r="F59" s="1"/>
  <c r="G57"/>
  <c r="H57" s="1"/>
  <c r="E57"/>
  <c r="E58" s="1"/>
  <c r="E59" s="1"/>
  <c r="F56"/>
  <c r="G56" s="1"/>
  <c r="H56" s="1"/>
  <c r="D56"/>
  <c r="D57" s="1"/>
  <c r="D58" s="1"/>
  <c r="D59" s="1"/>
  <c r="E55"/>
  <c r="F55" s="1"/>
  <c r="G55" s="1"/>
  <c r="H55" s="1"/>
  <c r="F51"/>
  <c r="F52" s="1"/>
  <c r="G50"/>
  <c r="E50"/>
  <c r="E51" s="1"/>
  <c r="E52" s="1"/>
  <c r="F49"/>
  <c r="G49" s="1"/>
  <c r="H49" s="1"/>
  <c r="D49"/>
  <c r="D50" s="1"/>
  <c r="D51" s="1"/>
  <c r="D52" s="1"/>
  <c r="E48"/>
  <c r="F48" s="1"/>
  <c r="G48" s="1"/>
  <c r="H48" s="1"/>
  <c r="G45"/>
  <c r="H44"/>
  <c r="F44"/>
  <c r="F45" s="1"/>
  <c r="G43"/>
  <c r="H43" s="1"/>
  <c r="E43"/>
  <c r="E44" s="1"/>
  <c r="E45" s="1"/>
  <c r="F42"/>
  <c r="G42" s="1"/>
  <c r="H42" s="1"/>
  <c r="D42"/>
  <c r="D43" s="1"/>
  <c r="D44" s="1"/>
  <c r="D45" s="1"/>
  <c r="E41"/>
  <c r="F41" s="1"/>
  <c r="G41" s="1"/>
  <c r="H41" s="1"/>
  <c r="G38"/>
  <c r="H37"/>
  <c r="F37"/>
  <c r="F38" s="1"/>
  <c r="G36"/>
  <c r="H36" s="1"/>
  <c r="E36"/>
  <c r="E37" s="1"/>
  <c r="E38" s="1"/>
  <c r="F35"/>
  <c r="G35" s="1"/>
  <c r="H35" s="1"/>
  <c r="D35"/>
  <c r="D36" s="1"/>
  <c r="D37" s="1"/>
  <c r="D38" s="1"/>
  <c r="E34"/>
  <c r="F34" s="1"/>
  <c r="G34" s="1"/>
  <c r="H34" s="1"/>
  <c r="H31"/>
  <c r="H30"/>
  <c r="G30"/>
  <c r="G31" s="1"/>
  <c r="G29"/>
  <c r="H29" s="1"/>
  <c r="F29"/>
  <c r="F30" s="1"/>
  <c r="F31" s="1"/>
  <c r="E28"/>
  <c r="E29" s="1"/>
  <c r="E30" s="1"/>
  <c r="E31" s="1"/>
  <c r="D28"/>
  <c r="D29" s="1"/>
  <c r="D30" s="1"/>
  <c r="D31" s="1"/>
  <c r="E27"/>
  <c r="F27" s="1"/>
  <c r="G27" s="1"/>
  <c r="H27" s="1"/>
  <c r="H24"/>
  <c r="G24"/>
  <c r="G23"/>
  <c r="H23" s="1"/>
  <c r="F22"/>
  <c r="G22" s="1"/>
  <c r="H22" s="1"/>
  <c r="E21"/>
  <c r="F21" s="1"/>
  <c r="G21" s="1"/>
  <c r="H21" s="1"/>
  <c r="D21"/>
  <c r="D22" s="1"/>
  <c r="D23" s="1"/>
  <c r="D24" s="1"/>
  <c r="E20"/>
  <c r="F20" s="1"/>
  <c r="G20" s="1"/>
  <c r="H20" s="1"/>
  <c r="G16"/>
  <c r="H15"/>
  <c r="G15"/>
  <c r="F15"/>
  <c r="F16" s="1"/>
  <c r="F17" s="1"/>
  <c r="E14"/>
  <c r="D14"/>
  <c r="D15" s="1"/>
  <c r="D16" s="1"/>
  <c r="D17" s="1"/>
  <c r="F13"/>
  <c r="G13" s="1"/>
  <c r="H13" s="1"/>
  <c r="E13"/>
  <c r="D10"/>
  <c r="H6"/>
  <c r="F28" l="1"/>
  <c r="G28" s="1"/>
  <c r="H28" s="1"/>
  <c r="F23"/>
  <c r="F24" s="1"/>
  <c r="F100"/>
  <c r="F101" s="1"/>
  <c r="F149"/>
  <c r="F150" s="1"/>
  <c r="F156"/>
  <c r="F157" s="1"/>
  <c r="E22"/>
  <c r="E23" s="1"/>
  <c r="E24" s="1"/>
  <c r="G17"/>
  <c r="H16"/>
  <c r="G101"/>
  <c r="H100"/>
  <c r="F105"/>
  <c r="G104"/>
  <c r="G129"/>
  <c r="H128"/>
  <c r="F133"/>
  <c r="G132"/>
  <c r="E148"/>
  <c r="E149" s="1"/>
  <c r="E150" s="1"/>
  <c r="F147"/>
  <c r="G147" s="1"/>
  <c r="H147" s="1"/>
  <c r="E155"/>
  <c r="E156" s="1"/>
  <c r="E157" s="1"/>
  <c r="F154"/>
  <c r="G154" s="1"/>
  <c r="H154" s="1"/>
  <c r="E15"/>
  <c r="E16" s="1"/>
  <c r="E17" s="1"/>
  <c r="F14"/>
  <c r="G14" s="1"/>
  <c r="H14" s="1"/>
  <c r="E99"/>
  <c r="E100" s="1"/>
  <c r="E101" s="1"/>
  <c r="F98"/>
  <c r="G98" s="1"/>
  <c r="H98" s="1"/>
  <c r="F119"/>
  <c r="G118"/>
  <c r="G150"/>
  <c r="H149"/>
  <c r="G157"/>
  <c r="H156"/>
  <c r="F161"/>
  <c r="G160"/>
  <c r="G51"/>
  <c r="H50"/>
  <c r="F77"/>
  <c r="F78" s="1"/>
  <c r="F79" s="1"/>
  <c r="F80" s="1"/>
  <c r="G76"/>
  <c r="G87"/>
  <c r="H86"/>
  <c r="G94"/>
  <c r="H93"/>
  <c r="H94" s="1"/>
  <c r="F126"/>
  <c r="G125"/>
  <c r="F168"/>
  <c r="G167"/>
  <c r="G171"/>
  <c r="H170"/>
  <c r="E85"/>
  <c r="E86" s="1"/>
  <c r="E87" s="1"/>
  <c r="F84"/>
  <c r="G84" s="1"/>
  <c r="H84" s="1"/>
  <c r="E92"/>
  <c r="E93" s="1"/>
  <c r="E94" s="1"/>
  <c r="F91"/>
  <c r="G91" s="1"/>
  <c r="H91" s="1"/>
  <c r="F112"/>
  <c r="G111"/>
  <c r="F140"/>
  <c r="G139"/>
  <c r="G112" l="1"/>
  <c r="G113" s="1"/>
  <c r="H111"/>
  <c r="H112" s="1"/>
  <c r="H113" s="1"/>
  <c r="H114" s="1"/>
  <c r="G168"/>
  <c r="H167"/>
  <c r="G77"/>
  <c r="G78" s="1"/>
  <c r="G79" s="1"/>
  <c r="G80" s="1"/>
  <c r="H76"/>
  <c r="H77" s="1"/>
  <c r="H78" s="1"/>
  <c r="H79" s="1"/>
  <c r="H80" s="1"/>
  <c r="G161"/>
  <c r="G162" s="1"/>
  <c r="H160"/>
  <c r="H161" s="1"/>
  <c r="H162" s="1"/>
  <c r="H163" s="1"/>
  <c r="G133"/>
  <c r="G134" s="1"/>
  <c r="H132"/>
  <c r="H133" s="1"/>
  <c r="H134" s="1"/>
  <c r="H135" s="1"/>
  <c r="G105"/>
  <c r="G106" s="1"/>
  <c r="H104"/>
  <c r="H105" s="1"/>
  <c r="H106" s="1"/>
  <c r="H107" s="1"/>
  <c r="G52"/>
  <c r="H51"/>
  <c r="G140"/>
  <c r="G141" s="1"/>
  <c r="H139"/>
  <c r="H140" s="1"/>
  <c r="H141" s="1"/>
  <c r="H142" s="1"/>
  <c r="G126"/>
  <c r="G127" s="1"/>
  <c r="H125"/>
  <c r="H126" s="1"/>
  <c r="H127" s="1"/>
  <c r="G119"/>
  <c r="G120" s="1"/>
  <c r="H118"/>
  <c r="H119" s="1"/>
  <c r="H120" s="1"/>
  <c r="H121" s="1"/>
  <c r="G169" l="1"/>
  <c r="H169" s="1"/>
  <c r="H168"/>
</calcChain>
</file>

<file path=xl/sharedStrings.xml><?xml version="1.0" encoding="utf-8"?>
<sst xmlns="http://schemas.openxmlformats.org/spreadsheetml/2006/main" count="538" uniqueCount="218">
  <si>
    <t>主要項目</t>
  </si>
  <si>
    <t>細項</t>
  </si>
  <si>
    <t>價    格    修    正    率</t>
  </si>
  <si>
    <t>備          註</t>
  </si>
  <si>
    <t>（百  分  比）</t>
  </si>
  <si>
    <t>土地使用管制</t>
    <phoneticPr fontId="3" type="noConversion"/>
  </si>
  <si>
    <t>都</t>
    <phoneticPr fontId="3" type="noConversion"/>
  </si>
  <si>
    <t>基準區段</t>
    <phoneticPr fontId="3" type="noConversion"/>
  </si>
  <si>
    <t>優</t>
  </si>
  <si>
    <t>劣</t>
  </si>
  <si>
    <t>市</t>
    <phoneticPr fontId="3" type="noConversion"/>
  </si>
  <si>
    <t>目標區段</t>
    <phoneticPr fontId="3" type="noConversion"/>
  </si>
  <si>
    <t>計</t>
    <phoneticPr fontId="3" type="noConversion"/>
  </si>
  <si>
    <t>畫</t>
    <phoneticPr fontId="3" type="noConversion"/>
  </si>
  <si>
    <t>使用</t>
    <phoneticPr fontId="3" type="noConversion"/>
  </si>
  <si>
    <t>稍優</t>
  </si>
  <si>
    <t>普通</t>
  </si>
  <si>
    <t>稍劣</t>
  </si>
  <si>
    <t>分區</t>
    <phoneticPr fontId="3" type="noConversion"/>
  </si>
  <si>
    <t>稍劣：農業區、農牧、林業、養殖、鹽業、水利、遊憩等可用於農業或輔助農業生產用地之土地</t>
    <phoneticPr fontId="3" type="noConversion"/>
  </si>
  <si>
    <t>建</t>
    <phoneticPr fontId="3" type="noConversion"/>
  </si>
  <si>
    <t>蔽</t>
    <phoneticPr fontId="3" type="noConversion"/>
  </si>
  <si>
    <t>率</t>
    <phoneticPr fontId="3" type="noConversion"/>
  </si>
  <si>
    <t>容</t>
    <phoneticPr fontId="3" type="noConversion"/>
  </si>
  <si>
    <t>優</t>
    <phoneticPr fontId="3" type="noConversion"/>
  </si>
  <si>
    <t>積</t>
    <phoneticPr fontId="3" type="noConversion"/>
  </si>
  <si>
    <t>交通運輸</t>
    <phoneticPr fontId="3" type="noConversion"/>
  </si>
  <si>
    <t>主</t>
    <phoneticPr fontId="3" type="noConversion"/>
  </si>
  <si>
    <t>要</t>
    <phoneticPr fontId="3" type="noConversion"/>
  </si>
  <si>
    <t>道</t>
    <phoneticPr fontId="3" type="noConversion"/>
  </si>
  <si>
    <t>優：24m≦W</t>
    <phoneticPr fontId="3" type="noConversion"/>
  </si>
  <si>
    <t>路</t>
    <phoneticPr fontId="3" type="noConversion"/>
  </si>
  <si>
    <t>稍優：16m≦W＜24m</t>
    <phoneticPr fontId="3" type="noConversion"/>
  </si>
  <si>
    <t>寬</t>
    <phoneticPr fontId="3" type="noConversion"/>
  </si>
  <si>
    <t>普通：12m≦W＜16m</t>
    <phoneticPr fontId="3" type="noConversion"/>
  </si>
  <si>
    <t>度</t>
    <phoneticPr fontId="3" type="noConversion"/>
  </si>
  <si>
    <t>稍劣：8m≦W＜12m</t>
    <phoneticPr fontId="3" type="noConversion"/>
  </si>
  <si>
    <t>劣：W＜8m</t>
    <phoneticPr fontId="3" type="noConversion"/>
  </si>
  <si>
    <t>區段內</t>
    <phoneticPr fontId="3" type="noConversion"/>
  </si>
  <si>
    <t>道路</t>
    <phoneticPr fontId="3" type="noConversion"/>
  </si>
  <si>
    <t>平均</t>
    <phoneticPr fontId="3" type="noConversion"/>
  </si>
  <si>
    <t>優：20m≦W</t>
    <phoneticPr fontId="3" type="noConversion"/>
  </si>
  <si>
    <t>寬度</t>
    <phoneticPr fontId="3" type="noConversion"/>
  </si>
  <si>
    <t>稍優：12m≦W＜20m</t>
    <phoneticPr fontId="3" type="noConversion"/>
  </si>
  <si>
    <t>普通：8m≦W＜12m</t>
    <phoneticPr fontId="3" type="noConversion"/>
  </si>
  <si>
    <t>稍劣：4m≦W＜8m</t>
    <phoneticPr fontId="3" type="noConversion"/>
  </si>
  <si>
    <t>劣：W＜4m</t>
    <phoneticPr fontId="3" type="noConversion"/>
  </si>
  <si>
    <t>接近</t>
    <phoneticPr fontId="3" type="noConversion"/>
  </si>
  <si>
    <t>以該區域中心點最接近聚落之距離(D)衡量。</t>
    <phoneticPr fontId="3" type="noConversion"/>
  </si>
  <si>
    <t>聚落</t>
    <phoneticPr fontId="3" type="noConversion"/>
  </si>
  <si>
    <t>之程度</t>
    <phoneticPr fontId="3" type="noConversion"/>
  </si>
  <si>
    <t>之程度</t>
    <phoneticPr fontId="3" type="noConversion"/>
  </si>
  <si>
    <t>優：D≦500m</t>
    <phoneticPr fontId="3" type="noConversion"/>
  </si>
  <si>
    <t>稍優：500m＜D≦1000m</t>
    <phoneticPr fontId="3" type="noConversion"/>
  </si>
  <si>
    <t>普通：1000m＜D≦2000m</t>
    <phoneticPr fontId="3" type="noConversion"/>
  </si>
  <si>
    <t>稍劣：2000m＜D≦3000m</t>
    <phoneticPr fontId="3" type="noConversion"/>
  </si>
  <si>
    <t>劣：3000m＜D</t>
    <phoneticPr fontId="3" type="noConversion"/>
  </si>
  <si>
    <t>站牌</t>
    <phoneticPr fontId="3" type="noConversion"/>
  </si>
  <si>
    <t>以該區域中心點最接近站牌（含火車、高鐵、捷運及公車站牌等）之距離（D）及密集程度衡量。</t>
    <phoneticPr fontId="3" type="noConversion"/>
  </si>
  <si>
    <t>優：D≦200m</t>
    <phoneticPr fontId="3" type="noConversion"/>
  </si>
  <si>
    <t>或</t>
    <phoneticPr fontId="3" type="noConversion"/>
  </si>
  <si>
    <t>稍優：200m＜D≦600m</t>
    <phoneticPr fontId="3" type="noConversion"/>
  </si>
  <si>
    <t>密集程度</t>
    <phoneticPr fontId="3" type="noConversion"/>
  </si>
  <si>
    <t>普通：600m＜D≦1200m</t>
    <phoneticPr fontId="3" type="noConversion"/>
  </si>
  <si>
    <t>稍劣：1200m＜D≦2000m</t>
    <phoneticPr fontId="3" type="noConversion"/>
  </si>
  <si>
    <t>劣：2000m＜D</t>
    <phoneticPr fontId="3" type="noConversion"/>
  </si>
  <si>
    <t>交流道</t>
    <phoneticPr fontId="3" type="noConversion"/>
  </si>
  <si>
    <t>以該區域中心點最接近交流道之距離(D)衡量。</t>
    <phoneticPr fontId="3" type="noConversion"/>
  </si>
  <si>
    <t>之有無</t>
    <phoneticPr fontId="3" type="noConversion"/>
  </si>
  <si>
    <t>及</t>
    <phoneticPr fontId="3" type="noConversion"/>
  </si>
  <si>
    <t>程度</t>
    <phoneticPr fontId="3" type="noConversion"/>
  </si>
  <si>
    <t>程度</t>
    <phoneticPr fontId="3" type="noConversion"/>
  </si>
  <si>
    <t>以該區域內道路規劃及興闢程度衡量。</t>
    <phoneticPr fontId="3" type="noConversion"/>
  </si>
  <si>
    <t>規劃</t>
    <phoneticPr fontId="3" type="noConversion"/>
  </si>
  <si>
    <t>優：鋪設人行道或有中央分隔島等</t>
    <phoneticPr fontId="3" type="noConversion"/>
  </si>
  <si>
    <t>稍優：鋪設柏油路面較佳</t>
    <phoneticPr fontId="3" type="noConversion"/>
  </si>
  <si>
    <t>闢建</t>
    <phoneticPr fontId="3" type="noConversion"/>
  </si>
  <si>
    <t>普通：鋪設柏油路面一般</t>
    <phoneticPr fontId="3" type="noConversion"/>
  </si>
  <si>
    <t>稍劣：鋪設柏油路且路面維護不完善或水泥路面</t>
    <phoneticPr fontId="3" type="noConversion"/>
  </si>
  <si>
    <t>劣：無鋪設道路</t>
    <phoneticPr fontId="3" type="noConversion"/>
  </si>
  <si>
    <t>自然條件</t>
    <phoneticPr fontId="3" type="noConversion"/>
  </si>
  <si>
    <t>日</t>
    <phoneticPr fontId="3" type="noConversion"/>
  </si>
  <si>
    <t>以該區域內平均日照量來衡量。</t>
    <phoneticPr fontId="3" type="noConversion"/>
  </si>
  <si>
    <t>照</t>
    <phoneticPr fontId="3" type="noConversion"/>
  </si>
  <si>
    <t>優：該區域日照量充足</t>
    <phoneticPr fontId="3" type="noConversion"/>
  </si>
  <si>
    <t>稍優：該區域日照量尚可</t>
    <phoneticPr fontId="3" type="noConversion"/>
  </si>
  <si>
    <t>普通：該區域日照量普通</t>
    <phoneticPr fontId="3" type="noConversion"/>
  </si>
  <si>
    <t>稍劣：該區域日照量稍差</t>
    <phoneticPr fontId="3" type="noConversion"/>
  </si>
  <si>
    <r>
      <rPr>
        <sz val="12"/>
        <rFont val="標楷體"/>
        <family val="4"/>
        <charset val="136"/>
      </rPr>
      <t>劣</t>
    </r>
    <r>
      <rPr>
        <sz val="12"/>
        <rFont val="新細明體"/>
        <family val="1"/>
        <charset val="136"/>
      </rPr>
      <t>：</t>
    </r>
    <r>
      <rPr>
        <sz val="12"/>
        <rFont val="標楷體"/>
        <family val="4"/>
        <charset val="136"/>
      </rPr>
      <t>該區域日照量差</t>
    </r>
    <phoneticPr fontId="3" type="noConversion"/>
  </si>
  <si>
    <t>傾</t>
    <phoneticPr fontId="3" type="noConversion"/>
  </si>
  <si>
    <t>以該區域內傾斜程度來衡量。</t>
    <phoneticPr fontId="3" type="noConversion"/>
  </si>
  <si>
    <t>斜</t>
    <phoneticPr fontId="3" type="noConversion"/>
  </si>
  <si>
    <t>優：無傾斜</t>
    <phoneticPr fontId="3" type="noConversion"/>
  </si>
  <si>
    <t>稍優：稍微傾斜</t>
    <phoneticPr fontId="3" type="noConversion"/>
  </si>
  <si>
    <t>普通：少部分傾斜</t>
    <phoneticPr fontId="3" type="noConversion"/>
  </si>
  <si>
    <t>稍劣：大部分傾斜</t>
    <phoneticPr fontId="3" type="noConversion"/>
  </si>
  <si>
    <t>劣：完全傾斜</t>
    <phoneticPr fontId="3" type="noConversion"/>
  </si>
  <si>
    <t>保</t>
    <phoneticPr fontId="3" type="noConversion"/>
  </si>
  <si>
    <t>水</t>
    <phoneticPr fontId="3" type="noConversion"/>
  </si>
  <si>
    <t>之</t>
    <phoneticPr fontId="3" type="noConversion"/>
  </si>
  <si>
    <t>良</t>
    <phoneticPr fontId="3" type="noConversion"/>
  </si>
  <si>
    <t>否</t>
    <phoneticPr fontId="3" type="noConversion"/>
  </si>
  <si>
    <t>地</t>
    <phoneticPr fontId="3" type="noConversion"/>
  </si>
  <si>
    <t>以該區域內平均地勢高亢或地窪來衡量。</t>
    <phoneticPr fontId="3" type="noConversion"/>
  </si>
  <si>
    <t>勢</t>
    <phoneticPr fontId="3" type="noConversion"/>
  </si>
  <si>
    <t>優：該區地勢平坦</t>
    <phoneticPr fontId="3" type="noConversion"/>
  </si>
  <si>
    <t>稍優：該區大部分地勢平坦</t>
    <phoneticPr fontId="3" type="noConversion"/>
  </si>
  <si>
    <t>普通：該區一半地勢平坦</t>
    <phoneticPr fontId="3" type="noConversion"/>
  </si>
  <si>
    <t>稍劣：該區大部分地勢高亢或低窪</t>
    <phoneticPr fontId="3" type="noConversion"/>
  </si>
  <si>
    <t>劣：該區全部地勢高亢或低窪</t>
    <phoneticPr fontId="3" type="noConversion"/>
  </si>
  <si>
    <t>劣：2000m＜D或無</t>
    <phoneticPr fontId="3" type="noConversion"/>
  </si>
  <si>
    <t>停車</t>
    <phoneticPr fontId="3" type="noConversion"/>
  </si>
  <si>
    <t>場地</t>
    <phoneticPr fontId="3" type="noConversion"/>
  </si>
  <si>
    <t>優：該區域內設有停車場</t>
    <phoneticPr fontId="3" type="noConversion"/>
  </si>
  <si>
    <t>便利</t>
    <phoneticPr fontId="3" type="noConversion"/>
  </si>
  <si>
    <t>稍優：該區域內設有路邊停車格</t>
    <phoneticPr fontId="3" type="noConversion"/>
  </si>
  <si>
    <t>普通：該區域內設有白線可臨時停車</t>
    <phoneticPr fontId="3" type="noConversion"/>
  </si>
  <si>
    <t>稍劣：該區域內設有黃線可臨時停車</t>
    <phoneticPr fontId="3" type="noConversion"/>
  </si>
  <si>
    <t>劣：該區域內無法停車</t>
    <phoneticPr fontId="3" type="noConversion"/>
  </si>
  <si>
    <t>電</t>
    <phoneticPr fontId="3" type="noConversion"/>
  </si>
  <si>
    <t>以該區域內電力資源程度來衡量。</t>
    <phoneticPr fontId="3" type="noConversion"/>
  </si>
  <si>
    <t>力</t>
    <phoneticPr fontId="3" type="noConversion"/>
  </si>
  <si>
    <t>資</t>
    <phoneticPr fontId="3" type="noConversion"/>
  </si>
  <si>
    <t>優：該區域全部可申請用電</t>
    <phoneticPr fontId="3" type="noConversion"/>
  </si>
  <si>
    <t>源</t>
    <phoneticPr fontId="3" type="noConversion"/>
  </si>
  <si>
    <t>稍優：該區域大部分可申請用電</t>
    <phoneticPr fontId="3" type="noConversion"/>
  </si>
  <si>
    <t>普通：該區域一半以上可申請用電</t>
    <phoneticPr fontId="3" type="noConversion"/>
  </si>
  <si>
    <t>稍劣：該區域少部分可申請用電</t>
    <phoneticPr fontId="3" type="noConversion"/>
  </si>
  <si>
    <t>劣：該區域無法申請用電</t>
    <phoneticPr fontId="3" type="noConversion"/>
  </si>
  <si>
    <t>產業</t>
    <phoneticPr fontId="3" type="noConversion"/>
  </si>
  <si>
    <t>以該區域內產業用水設施來衡量。</t>
    <phoneticPr fontId="3" type="noConversion"/>
  </si>
  <si>
    <t>用水</t>
    <phoneticPr fontId="3" type="noConversion"/>
  </si>
  <si>
    <t>優：該區域為產業專用區內土地</t>
    <phoneticPr fontId="3" type="noConversion"/>
  </si>
  <si>
    <t>設施</t>
    <phoneticPr fontId="3" type="noConversion"/>
  </si>
  <si>
    <t>以該區域接近服務性設施的程度（超商、郵局、銀行、醫院、機關等）之距離（D）衡量。</t>
    <phoneticPr fontId="3" type="noConversion"/>
  </si>
  <si>
    <t>特殊設施</t>
    <phoneticPr fontId="3" type="noConversion"/>
  </si>
  <si>
    <t>電業設施</t>
    <phoneticPr fontId="3" type="noConversion"/>
  </si>
  <si>
    <t>以該區域中心點最接近電業設施及公用氣體燃料設施之距離（D）衡量。</t>
    <phoneticPr fontId="3" type="noConversion"/>
  </si>
  <si>
    <t>公用氣體</t>
    <phoneticPr fontId="3" type="noConversion"/>
  </si>
  <si>
    <t>優：3000m＜D或無</t>
    <phoneticPr fontId="3" type="noConversion"/>
  </si>
  <si>
    <t>燃料設施</t>
    <phoneticPr fontId="3" type="noConversion"/>
  </si>
  <si>
    <t xml:space="preserve">稍優：1800m＜D≦3000m </t>
    <phoneticPr fontId="3" type="noConversion"/>
  </si>
  <si>
    <t xml:space="preserve">普通：900m＜D≦1800m </t>
    <phoneticPr fontId="3" type="noConversion"/>
  </si>
  <si>
    <t>及接近程度</t>
    <phoneticPr fontId="3" type="noConversion"/>
  </si>
  <si>
    <t>稍劣：300m＜D≦900m</t>
    <phoneticPr fontId="3" type="noConversion"/>
  </si>
  <si>
    <t>劣：D≦300m</t>
    <phoneticPr fontId="3" type="noConversion"/>
  </si>
  <si>
    <t>殯葬設施</t>
    <phoneticPr fontId="3" type="noConversion"/>
  </si>
  <si>
    <t>以該區域中心點最接近殯葬設施之距離（D）衡量。</t>
    <phoneticPr fontId="3" type="noConversion"/>
  </si>
  <si>
    <t>接近程度</t>
    <phoneticPr fontId="3" type="noConversion"/>
  </si>
  <si>
    <t>廢棄物</t>
    <phoneticPr fontId="3" type="noConversion"/>
  </si>
  <si>
    <t>以該區域中心點最接近廢棄物處理設施之距離（D）衡量。</t>
    <phoneticPr fontId="3" type="noConversion"/>
  </si>
  <si>
    <t>處理設施</t>
    <phoneticPr fontId="3" type="noConversion"/>
  </si>
  <si>
    <t>及接近</t>
    <phoneticPr fontId="3" type="noConversion"/>
  </si>
  <si>
    <t>等之有無</t>
    <phoneticPr fontId="3" type="noConversion"/>
  </si>
  <si>
    <t>及接近程度</t>
    <phoneticPr fontId="3" type="noConversion"/>
  </si>
  <si>
    <t>其他影響因素</t>
    <phoneticPr fontId="3" type="noConversion"/>
  </si>
  <si>
    <t>依該區域之其他影響地價因素差異程度來衡量</t>
    <phoneticPr fontId="3" type="noConversion"/>
  </si>
  <si>
    <t>請自行定義</t>
    <phoneticPr fontId="3" type="noConversion"/>
  </si>
  <si>
    <t>說明：</t>
  </si>
  <si>
    <t>（內、外）</t>
    <phoneticPr fontId="3" type="noConversion"/>
  </si>
  <si>
    <t>（使用地</t>
    <phoneticPr fontId="3" type="noConversion"/>
  </si>
  <si>
    <t>類別）</t>
    <phoneticPr fontId="3" type="noConversion"/>
  </si>
  <si>
    <t>優：都市計畫商業區等可用於商業使用之土地</t>
    <phoneticPr fontId="3" type="noConversion"/>
  </si>
  <si>
    <t>普通：都內都外工業區、丁種建築用地、丙種建築用地或受開發限制之住宅用地等及特定目的事業用地等可用於工業生產之土地</t>
    <phoneticPr fontId="3" type="noConversion"/>
  </si>
  <si>
    <t>劣：河川區、交通、生態保護、國土保安、墳墓等限制使用地及無法從事生產之土地</t>
    <phoneticPr fontId="3" type="noConversion"/>
  </si>
  <si>
    <t>稍優：都市計畫住宅區、非都市土地甲、乙種建築用地及農業區建地目土地等可用於住宅使用之土地</t>
    <phoneticPr fontId="3" type="noConversion"/>
  </si>
  <si>
    <t>優：60％＜建蔽率</t>
    <phoneticPr fontId="3" type="noConversion"/>
  </si>
  <si>
    <t>稍優：50％＜建蔽率≦60％</t>
    <phoneticPr fontId="3" type="noConversion"/>
  </si>
  <si>
    <t>普通：45％＜建蔽率≦50％</t>
    <phoneticPr fontId="3" type="noConversion"/>
  </si>
  <si>
    <t>稍劣：40％＜建蔽率≦45％</t>
    <phoneticPr fontId="3" type="noConversion"/>
  </si>
  <si>
    <t>劣：建蔽率≦40％</t>
    <phoneticPr fontId="3" type="noConversion"/>
  </si>
  <si>
    <t>優：240％＜容積率</t>
    <phoneticPr fontId="3" type="noConversion"/>
  </si>
  <si>
    <t>稍優：200％＜容積率≦240％</t>
    <phoneticPr fontId="3" type="noConversion"/>
  </si>
  <si>
    <t>普通：160％＜容積率≦200％</t>
    <phoneticPr fontId="3" type="noConversion"/>
  </si>
  <si>
    <t>稍劣：120％＜容積率≦160％</t>
    <phoneticPr fontId="3" type="noConversion"/>
  </si>
  <si>
    <t>劣：容積率≦120％</t>
    <phoneticPr fontId="3" type="noConversion"/>
  </si>
  <si>
    <t>以該區域是否為都市計畫內外區分。</t>
    <phoneticPr fontId="3" type="noConversion"/>
  </si>
  <si>
    <t>優：都市計畫區內</t>
    <phoneticPr fontId="3" type="noConversion"/>
  </si>
  <si>
    <t>劣：都市計畫區外</t>
    <phoneticPr fontId="3" type="noConversion"/>
  </si>
  <si>
    <t>以該區域最接近主要道路之寬度（W）衡量。</t>
    <phoneticPr fontId="3" type="noConversion"/>
  </si>
  <si>
    <t>以該區域內平均道路寬度（W）衡量。</t>
    <phoneticPr fontId="3" type="noConversion"/>
  </si>
  <si>
    <t>之接近</t>
    <phoneticPr fontId="3" type="noConversion"/>
  </si>
  <si>
    <t>（排）</t>
    <phoneticPr fontId="3" type="noConversion"/>
  </si>
  <si>
    <t>以該區域內保（排）水設施良窳來衡量。</t>
    <phoneticPr fontId="3" type="noConversion"/>
  </si>
  <si>
    <t>優：該區域有主要保（排）水線</t>
    <phoneticPr fontId="3" type="noConversion"/>
  </si>
  <si>
    <t>稍優：該區域有次要保（排）水線</t>
    <phoneticPr fontId="3" type="noConversion"/>
  </si>
  <si>
    <t>普通：該區域有一般保（排）水線</t>
    <phoneticPr fontId="3" type="noConversion"/>
  </si>
  <si>
    <t>稍劣：該區域無排水線但可自然保（排）水</t>
    <phoneticPr fontId="3" type="noConversion"/>
  </si>
  <si>
    <t>劣：該區域無排水線且不易保（排）水</t>
    <phoneticPr fontId="3" type="noConversion"/>
  </si>
  <si>
    <t>接近市場之</t>
    <phoneticPr fontId="3" type="noConversion"/>
  </si>
  <si>
    <t>程度（傳統</t>
    <phoneticPr fontId="3" type="noConversion"/>
  </si>
  <si>
    <t>市場、超級</t>
    <phoneticPr fontId="3" type="noConversion"/>
  </si>
  <si>
    <t>市場、超大</t>
    <phoneticPr fontId="3" type="noConversion"/>
  </si>
  <si>
    <t>型購物中</t>
    <phoneticPr fontId="3" type="noConversion"/>
  </si>
  <si>
    <t>心）</t>
    <phoneticPr fontId="3" type="noConversion"/>
  </si>
  <si>
    <t>以該區域中心點最接近市場（傳統市場、超級市場、量販店、購物中心）之距離（D）衡量。</t>
    <phoneticPr fontId="3" type="noConversion"/>
  </si>
  <si>
    <t>依接近該區域內時停車設置之便利情形衡量。</t>
    <phoneticPr fontId="3" type="noConversion"/>
  </si>
  <si>
    <t>公共建設</t>
    <phoneticPr fontId="3" type="noConversion"/>
  </si>
  <si>
    <t>稍優：該區域為非產業專用區土地，但與附近土地使用性質相近，且可申請用水設施</t>
    <phoneticPr fontId="3" type="noConversion"/>
  </si>
  <si>
    <t>普通：該區域為非產業專用區土地，但與附近土地使用無排斥性，且可申請用水設施</t>
    <phoneticPr fontId="3" type="noConversion"/>
  </si>
  <si>
    <t>稍劣：該區域為非產業專用區土地，但與附近土地使用有排斥性，且可申請用水設施</t>
    <phoneticPr fontId="3" type="noConversion"/>
  </si>
  <si>
    <t>劣：該區域為非產業專用區土地，但與附近土地使用有排斥性，且無法申請用水設施</t>
    <phoneticPr fontId="3" type="noConversion"/>
  </si>
  <si>
    <t>接近服務性</t>
    <phoneticPr fontId="3" type="noConversion"/>
  </si>
  <si>
    <t>設施的程度</t>
    <phoneticPr fontId="3" type="noConversion"/>
  </si>
  <si>
    <t>（郵局、銀</t>
    <phoneticPr fontId="3" type="noConversion"/>
  </si>
  <si>
    <t>行、醫院、</t>
    <phoneticPr fontId="3" type="noConversion"/>
  </si>
  <si>
    <t>機關等</t>
    <phoneticPr fontId="3" type="noConversion"/>
  </si>
  <si>
    <t>設施）</t>
    <phoneticPr fontId="3" type="noConversion"/>
  </si>
  <si>
    <t>環境污染</t>
    <phoneticPr fontId="3" type="noConversion"/>
  </si>
  <si>
    <t>水污染、</t>
    <phoneticPr fontId="3" type="noConversion"/>
  </si>
  <si>
    <t>噪音污染、</t>
    <phoneticPr fontId="3" type="noConversion"/>
  </si>
  <si>
    <t>廢氣污染、</t>
    <phoneticPr fontId="3" type="noConversion"/>
  </si>
  <si>
    <t>廢棄物污染</t>
    <phoneticPr fontId="3" type="noConversion"/>
  </si>
  <si>
    <t>以該區域中心點最接近水污染、噪音污染、廢氣污染、廢棄物污染之距離（D）衡量。</t>
    <phoneticPr fontId="3" type="noConversion"/>
  </si>
  <si>
    <t>二、如特殊狀況之個案，得敘明理由以不大於本基準明細表價格修正率進行調整或免予考慮部分細項。</t>
    <phoneticPr fontId="3" type="noConversion"/>
  </si>
  <si>
    <t>三、如有無法歸屬表列項目之特殊情形需調整者，得於「其他」項下適度調整。</t>
    <phoneticPr fontId="3" type="noConversion"/>
  </si>
  <si>
    <t>一、其他用地指非得歸屬住宅用地、商業用地、工業用地、農業用地之其他性質土地。</t>
    <phoneticPr fontId="3" type="noConversion"/>
  </si>
  <si>
    <t xml:space="preserve">                臺南市麻豆區其他用地影響地價區域因素評價基準明細表</t>
    <phoneticPr fontId="3" type="noConversion"/>
  </si>
</sst>
</file>

<file path=xl/styles.xml><?xml version="1.0" encoding="utf-8"?>
<styleSheet xmlns="http://schemas.openxmlformats.org/spreadsheetml/2006/main">
  <numFmts count="3">
    <numFmt numFmtId="176" formatCode="0_ "/>
    <numFmt numFmtId="177" formatCode="0.0_ "/>
    <numFmt numFmtId="178" formatCode="0.00_ "/>
  </numFmts>
  <fonts count="11">
    <font>
      <sz val="12"/>
      <name val="新細明體"/>
      <family val="1"/>
      <charset val="136"/>
    </font>
    <font>
      <sz val="12"/>
      <name val="新細明體"/>
      <family val="1"/>
      <charset val="136"/>
    </font>
    <font>
      <b/>
      <sz val="12"/>
      <name val="標楷體"/>
      <family val="4"/>
      <charset val="136"/>
    </font>
    <font>
      <sz val="9"/>
      <name val="新細明體"/>
      <family val="1"/>
      <charset val="136"/>
    </font>
    <font>
      <sz val="12"/>
      <name val="標楷體"/>
      <family val="4"/>
      <charset val="136"/>
    </font>
    <font>
      <sz val="8"/>
      <name val="標楷體"/>
      <family val="4"/>
      <charset val="136"/>
    </font>
    <font>
      <sz val="12"/>
      <name val="Courier"/>
      <family val="3"/>
    </font>
    <font>
      <sz val="11"/>
      <name val="新細明體"/>
      <family val="1"/>
      <charset val="136"/>
    </font>
    <font>
      <b/>
      <sz val="12"/>
      <name val="新細明體"/>
      <family val="1"/>
      <charset val="136"/>
    </font>
    <font>
      <sz val="12"/>
      <color rgb="FFFF0000"/>
      <name val="標楷體"/>
      <family val="4"/>
      <charset val="136"/>
    </font>
    <font>
      <b/>
      <sz val="18"/>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41">
    <border>
      <left/>
      <right/>
      <top/>
      <bottom/>
      <diagonal/>
    </border>
    <border>
      <left style="thick">
        <color indexed="64"/>
      </left>
      <right style="medium">
        <color indexed="64"/>
      </right>
      <top style="thick">
        <color indexed="64"/>
      </top>
      <bottom/>
      <diagonal/>
    </border>
    <border>
      <left style="medium">
        <color indexed="64"/>
      </left>
      <right/>
      <top style="thick">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ck">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ck">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indexed="64"/>
      </left>
      <right style="medium">
        <color indexed="64"/>
      </right>
      <top/>
      <bottom style="thick">
        <color indexed="64"/>
      </bottom>
      <diagonal/>
    </border>
  </borders>
  <cellStyleXfs count="7">
    <xf numFmtId="0" fontId="0" fillId="0" borderId="0">
      <alignment vertical="center"/>
    </xf>
    <xf numFmtId="0" fontId="6" fillId="0" borderId="0"/>
    <xf numFmtId="0" fontId="4" fillId="0" borderId="0"/>
    <xf numFmtId="0" fontId="1" fillId="0" borderId="0"/>
    <xf numFmtId="0" fontId="1" fillId="0" borderId="0"/>
    <xf numFmtId="0" fontId="1" fillId="0" borderId="0"/>
    <xf numFmtId="9" fontId="1" fillId="0" borderId="0" applyFont="0" applyFill="0" applyBorder="0" applyAlignment="0" applyProtection="0"/>
  </cellStyleXfs>
  <cellXfs count="110">
    <xf numFmtId="0" fontId="0" fillId="0" borderId="0" xfId="0">
      <alignment vertical="center"/>
    </xf>
    <xf numFmtId="0" fontId="1" fillId="0" borderId="0" xfId="0" applyFont="1">
      <alignment vertical="center"/>
    </xf>
    <xf numFmtId="0" fontId="4" fillId="0" borderId="4" xfId="0" applyFont="1" applyBorder="1" applyAlignment="1">
      <alignment horizontal="center" vertical="center" wrapText="1"/>
    </xf>
    <xf numFmtId="0" fontId="5" fillId="0" borderId="14" xfId="0" applyFont="1" applyBorder="1" applyAlignment="1">
      <alignment horizontal="right" vertical="center"/>
    </xf>
    <xf numFmtId="0" fontId="4" fillId="0" borderId="17" xfId="0" applyFont="1" applyBorder="1" applyAlignment="1">
      <alignment horizontal="justify" vertical="top" wrapText="1"/>
    </xf>
    <xf numFmtId="0" fontId="4" fillId="0" borderId="0" xfId="0" applyFont="1" applyBorder="1" applyAlignment="1">
      <alignment horizontal="center" vertical="center" wrapText="1"/>
    </xf>
    <xf numFmtId="0" fontId="5" fillId="0" borderId="19" xfId="0" applyFont="1" applyBorder="1">
      <alignment vertical="center"/>
    </xf>
    <xf numFmtId="0" fontId="4" fillId="0" borderId="22" xfId="0" applyFont="1" applyBorder="1" applyAlignment="1">
      <alignment horizontal="justify" vertical="top" wrapText="1"/>
    </xf>
    <xf numFmtId="0" fontId="4" fillId="0" borderId="23" xfId="0" applyFont="1" applyBorder="1" applyAlignment="1">
      <alignment horizontal="center" vertical="center" wrapText="1"/>
    </xf>
    <xf numFmtId="176" fontId="1" fillId="0" borderId="20" xfId="1" applyNumberFormat="1" applyFont="1" applyBorder="1" applyAlignment="1" applyProtection="1">
      <alignment horizontal="center" vertical="center"/>
    </xf>
    <xf numFmtId="0" fontId="4" fillId="2" borderId="10" xfId="0" applyFont="1" applyFill="1" applyBorder="1" applyAlignment="1">
      <alignment horizontal="center" vertical="center" wrapText="1"/>
    </xf>
    <xf numFmtId="0" fontId="4" fillId="0" borderId="24" xfId="0" applyFont="1" applyBorder="1" applyAlignment="1">
      <alignment horizontal="center" vertical="center" wrapText="1"/>
    </xf>
    <xf numFmtId="0" fontId="1" fillId="0" borderId="22" xfId="0" applyFont="1" applyBorder="1" applyAlignment="1">
      <alignment vertical="top" wrapText="1"/>
    </xf>
    <xf numFmtId="0" fontId="4" fillId="0" borderId="3" xfId="0" applyFont="1" applyBorder="1" applyAlignment="1">
      <alignment horizontal="center" vertical="center" wrapText="1"/>
    </xf>
    <xf numFmtId="0" fontId="4" fillId="0" borderId="17" xfId="0" applyFont="1" applyBorder="1" applyAlignment="1">
      <alignment vertical="center" wrapText="1"/>
    </xf>
    <xf numFmtId="0" fontId="4" fillId="0" borderId="8" xfId="0" applyFont="1" applyBorder="1" applyAlignment="1">
      <alignment horizontal="center" vertical="center" wrapText="1"/>
    </xf>
    <xf numFmtId="177" fontId="1" fillId="0" borderId="20" xfId="1" applyNumberFormat="1" applyFont="1" applyBorder="1" applyAlignment="1" applyProtection="1">
      <alignment horizontal="center" vertical="center"/>
    </xf>
    <xf numFmtId="177" fontId="1" fillId="0" borderId="25" xfId="1" applyNumberFormat="1" applyFont="1" applyBorder="1" applyAlignment="1" applyProtection="1">
      <alignment horizontal="center" vertical="center"/>
    </xf>
    <xf numFmtId="177" fontId="1" fillId="0" borderId="21" xfId="1" applyNumberFormat="1" applyFont="1" applyBorder="1" applyAlignment="1" applyProtection="1">
      <alignment horizontal="center" vertical="center"/>
    </xf>
    <xf numFmtId="0" fontId="4" fillId="0" borderId="22" xfId="0" applyFont="1" applyBorder="1" applyAlignment="1">
      <alignment vertical="top" wrapText="1"/>
    </xf>
    <xf numFmtId="0" fontId="4" fillId="2" borderId="9" xfId="0" applyFont="1" applyFill="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vertical="top" wrapText="1"/>
    </xf>
    <xf numFmtId="0" fontId="4" fillId="0" borderId="5" xfId="0" applyFont="1" applyBorder="1" applyAlignment="1">
      <alignment vertical="top" wrapText="1"/>
    </xf>
    <xf numFmtId="0" fontId="4" fillId="0" borderId="28" xfId="0" applyFont="1" applyBorder="1" applyAlignment="1">
      <alignment vertical="top" wrapText="1"/>
    </xf>
    <xf numFmtId="176" fontId="1" fillId="0" borderId="21" xfId="1" applyNumberFormat="1" applyFont="1" applyBorder="1" applyAlignment="1" applyProtection="1">
      <alignment horizontal="center" vertical="center"/>
    </xf>
    <xf numFmtId="0" fontId="1" fillId="0" borderId="11" xfId="0" applyFont="1" applyBorder="1" applyAlignment="1">
      <alignment vertical="top" wrapText="1"/>
    </xf>
    <xf numFmtId="176" fontId="1" fillId="0" borderId="30" xfId="1" applyNumberFormat="1" applyFont="1" applyBorder="1" applyAlignment="1" applyProtection="1">
      <alignment horizontal="center" vertical="center"/>
    </xf>
    <xf numFmtId="176" fontId="1" fillId="0" borderId="31" xfId="1" applyNumberFormat="1" applyFont="1" applyBorder="1" applyAlignment="1" applyProtection="1">
      <alignment horizontal="center" vertical="center"/>
    </xf>
    <xf numFmtId="0" fontId="4" fillId="0" borderId="8" xfId="0" applyFont="1" applyFill="1" applyBorder="1" applyAlignment="1">
      <alignment horizontal="center" vertical="center" wrapText="1"/>
    </xf>
    <xf numFmtId="178" fontId="1" fillId="0" borderId="20" xfId="1" applyNumberFormat="1" applyFont="1" applyBorder="1" applyAlignment="1" applyProtection="1">
      <alignment horizontal="center" vertical="center"/>
    </xf>
    <xf numFmtId="178" fontId="7" fillId="0" borderId="20" xfId="1" applyNumberFormat="1" applyFont="1" applyBorder="1" applyAlignment="1" applyProtection="1">
      <alignment horizontal="center" vertical="center"/>
    </xf>
    <xf numFmtId="178" fontId="7" fillId="0" borderId="30" xfId="1" applyNumberFormat="1" applyFont="1" applyBorder="1" applyAlignment="1" applyProtection="1">
      <alignment horizontal="center" vertical="center"/>
    </xf>
    <xf numFmtId="178" fontId="1" fillId="0" borderId="30" xfId="1" applyNumberFormat="1" applyFont="1" applyBorder="1" applyAlignment="1" applyProtection="1">
      <alignment horizontal="center" vertical="center"/>
    </xf>
    <xf numFmtId="0" fontId="4" fillId="3" borderId="9" xfId="0" applyFont="1" applyFill="1" applyBorder="1" applyAlignment="1">
      <alignment horizontal="center" vertical="center" wrapText="1"/>
    </xf>
    <xf numFmtId="177" fontId="1" fillId="0" borderId="30" xfId="1" applyNumberFormat="1" applyFont="1" applyBorder="1" applyAlignment="1" applyProtection="1">
      <alignment horizontal="center" vertical="center"/>
    </xf>
    <xf numFmtId="177" fontId="1" fillId="0" borderId="31" xfId="1" applyNumberFormat="1" applyFont="1" applyBorder="1" applyAlignment="1" applyProtection="1">
      <alignment horizontal="center" vertical="center"/>
    </xf>
    <xf numFmtId="0" fontId="0" fillId="0" borderId="22" xfId="0" applyBorder="1" applyAlignment="1">
      <alignment vertical="top" wrapText="1"/>
    </xf>
    <xf numFmtId="0" fontId="5" fillId="0" borderId="32" xfId="0" applyFont="1" applyBorder="1" applyAlignment="1">
      <alignment horizontal="right" vertical="center"/>
    </xf>
    <xf numFmtId="0" fontId="4" fillId="0" borderId="22" xfId="0" applyFont="1" applyFill="1" applyBorder="1" applyAlignment="1">
      <alignment horizontal="justify" vertical="top" wrapText="1"/>
    </xf>
    <xf numFmtId="0" fontId="1" fillId="0" borderId="0" xfId="0" applyFont="1" applyAlignment="1">
      <alignment vertical="center" wrapText="1"/>
    </xf>
    <xf numFmtId="0" fontId="4" fillId="0" borderId="28" xfId="0" applyFont="1" applyFill="1" applyBorder="1" applyAlignment="1">
      <alignment horizontal="justify" vertical="top" wrapText="1"/>
    </xf>
    <xf numFmtId="0" fontId="4" fillId="0" borderId="28" xfId="0" applyFont="1" applyFill="1" applyBorder="1" applyAlignment="1">
      <alignment vertical="top" wrapText="1"/>
    </xf>
    <xf numFmtId="0" fontId="4" fillId="0" borderId="11" xfId="0" applyFont="1" applyBorder="1" applyAlignment="1">
      <alignment vertical="top" wrapText="1"/>
    </xf>
    <xf numFmtId="0" fontId="4" fillId="0" borderId="38" xfId="0" applyFont="1" applyBorder="1" applyAlignment="1">
      <alignment horizontal="center" vertical="center" wrapText="1"/>
    </xf>
    <xf numFmtId="177" fontId="1" fillId="0" borderId="23" xfId="1" applyNumberFormat="1" applyFont="1" applyBorder="1" applyAlignment="1" applyProtection="1">
      <alignment horizontal="center" vertical="center"/>
    </xf>
    <xf numFmtId="0" fontId="4" fillId="0" borderId="39" xfId="0" applyFont="1" applyBorder="1" applyAlignment="1">
      <alignment horizontal="center" vertical="center" wrapText="1"/>
    </xf>
    <xf numFmtId="177" fontId="1" fillId="0" borderId="24" xfId="1" applyNumberFormat="1" applyFont="1" applyBorder="1" applyAlignment="1" applyProtection="1">
      <alignment horizontal="center" vertical="center"/>
    </xf>
    <xf numFmtId="0" fontId="4" fillId="2" borderId="8" xfId="0" applyFont="1" applyFill="1" applyBorder="1" applyAlignment="1">
      <alignment horizontal="center" vertical="center" wrapText="1"/>
    </xf>
    <xf numFmtId="0" fontId="8" fillId="0" borderId="0" xfId="0" applyFont="1" applyBorder="1" applyAlignment="1">
      <alignment horizontal="center" vertical="center"/>
    </xf>
    <xf numFmtId="0" fontId="1" fillId="0" borderId="0" xfId="0" applyFont="1" applyBorder="1">
      <alignment vertical="center"/>
    </xf>
    <xf numFmtId="0" fontId="8" fillId="0" borderId="0" xfId="0" applyFont="1" applyAlignment="1">
      <alignment horizontal="center" vertical="center"/>
    </xf>
    <xf numFmtId="177" fontId="1" fillId="0" borderId="29" xfId="1" applyNumberFormat="1" applyFont="1" applyBorder="1" applyAlignment="1" applyProtection="1">
      <alignment horizontal="center" vertical="center"/>
    </xf>
    <xf numFmtId="0" fontId="10" fillId="0" borderId="0" xfId="0" applyFont="1" applyAlignment="1"/>
    <xf numFmtId="0" fontId="0" fillId="0" borderId="0" xfId="0" applyAlignment="1">
      <alignment vertical="top" textRotation="255"/>
    </xf>
    <xf numFmtId="0" fontId="0" fillId="0" borderId="0" xfId="0" applyAlignment="1"/>
    <xf numFmtId="0" fontId="0" fillId="0" borderId="0" xfId="0" applyBorder="1" applyAlignment="1"/>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4" fillId="0" borderId="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2" fillId="0" borderId="13" xfId="0" applyFont="1" applyBorder="1" applyAlignment="1">
      <alignment horizontal="center" vertical="center" textRotation="255" wrapText="1"/>
    </xf>
    <xf numFmtId="0" fontId="2" fillId="0" borderId="18" xfId="0" applyFont="1" applyBorder="1" applyAlignment="1">
      <alignment horizontal="center" vertical="center" textRotation="255" wrapText="1"/>
    </xf>
    <xf numFmtId="0" fontId="4" fillId="0" borderId="15"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2" xfId="0" applyFont="1" applyBorder="1" applyAlignment="1">
      <alignment vertical="center" wrapText="1"/>
    </xf>
    <xf numFmtId="0" fontId="0" fillId="0" borderId="22" xfId="0" applyBorder="1" applyAlignment="1">
      <alignment vertical="center" wrapText="1"/>
    </xf>
    <xf numFmtId="0" fontId="4" fillId="0" borderId="22" xfId="0" applyFont="1" applyBorder="1" applyAlignment="1">
      <alignment vertical="top" wrapText="1"/>
    </xf>
    <xf numFmtId="0" fontId="0" fillId="0" borderId="22" xfId="0" applyBorder="1" applyAlignment="1">
      <alignment vertical="top" wrapText="1"/>
    </xf>
    <xf numFmtId="0" fontId="4" fillId="0" borderId="16" xfId="0" applyFont="1" applyBorder="1" applyAlignment="1">
      <alignment horizontal="center" vertical="center" wrapText="1"/>
    </xf>
    <xf numFmtId="0" fontId="4" fillId="0" borderId="21" xfId="0" applyFont="1" applyBorder="1" applyAlignment="1">
      <alignment horizontal="center" vertical="center" wrapText="1"/>
    </xf>
    <xf numFmtId="0" fontId="2" fillId="0" borderId="17" xfId="0" applyFont="1" applyBorder="1" applyAlignment="1">
      <alignment horizontal="center" vertical="center" textRotation="255" wrapText="1"/>
    </xf>
    <xf numFmtId="0" fontId="2" fillId="0" borderId="22" xfId="0" applyFont="1" applyBorder="1" applyAlignment="1">
      <alignment horizontal="center" vertical="center" textRotation="255" wrapText="1"/>
    </xf>
    <xf numFmtId="0" fontId="2" fillId="0" borderId="27" xfId="0" applyFont="1" applyBorder="1" applyAlignment="1">
      <alignment horizontal="center" vertical="center" textRotation="255" wrapText="1"/>
    </xf>
    <xf numFmtId="0" fontId="4" fillId="0" borderId="17" xfId="0" applyFont="1" applyBorder="1" applyAlignment="1">
      <alignment vertical="top" wrapText="1"/>
    </xf>
    <xf numFmtId="0" fontId="4" fillId="0" borderId="17" xfId="0" applyFont="1" applyBorder="1" applyAlignment="1">
      <alignment vertical="center" wrapText="1"/>
    </xf>
    <xf numFmtId="0" fontId="2" fillId="0" borderId="7" xfId="0" applyFont="1" applyBorder="1" applyAlignment="1">
      <alignment horizontal="center" vertical="center" textRotation="255" wrapText="1"/>
    </xf>
    <xf numFmtId="0" fontId="4" fillId="0" borderId="33" xfId="0" applyFont="1" applyBorder="1" applyAlignment="1">
      <alignment horizontal="center" vertical="center" wrapText="1"/>
    </xf>
    <xf numFmtId="0" fontId="4" fillId="0" borderId="34" xfId="0" applyFont="1" applyBorder="1" applyAlignment="1">
      <alignment vertical="center" wrapText="1"/>
    </xf>
    <xf numFmtId="0" fontId="4" fillId="0" borderId="35" xfId="0" applyFont="1" applyBorder="1" applyAlignment="1">
      <alignment vertical="center" wrapText="1"/>
    </xf>
    <xf numFmtId="0" fontId="4" fillId="0" borderId="17" xfId="0" applyFont="1" applyBorder="1" applyAlignment="1">
      <alignment horizontal="left" vertical="top" wrapText="1"/>
    </xf>
    <xf numFmtId="0" fontId="4" fillId="0" borderId="22" xfId="0" applyFont="1" applyBorder="1" applyAlignment="1">
      <alignment horizontal="left" vertical="top" wrapText="1"/>
    </xf>
    <xf numFmtId="0" fontId="4" fillId="0" borderId="17" xfId="0" applyFont="1" applyBorder="1" applyAlignment="1">
      <alignment horizontal="left" vertical="center" wrapText="1"/>
    </xf>
    <xf numFmtId="0" fontId="4" fillId="0" borderId="22" xfId="0" applyFont="1" applyBorder="1" applyAlignment="1">
      <alignment horizontal="left" vertical="center" wrapText="1"/>
    </xf>
    <xf numFmtId="0" fontId="0" fillId="0" borderId="22" xfId="0" applyBorder="1">
      <alignment vertical="center"/>
    </xf>
    <xf numFmtId="0" fontId="0" fillId="0" borderId="27" xfId="0" applyBorder="1">
      <alignment vertical="center"/>
    </xf>
    <xf numFmtId="0" fontId="4" fillId="0" borderId="36" xfId="0" applyFont="1" applyBorder="1" applyAlignment="1">
      <alignment horizontal="center" vertical="center" wrapText="1"/>
    </xf>
    <xf numFmtId="0" fontId="4" fillId="0" borderId="5" xfId="0" applyFont="1" applyBorder="1" applyAlignment="1">
      <alignment vertical="center" wrapText="1"/>
    </xf>
    <xf numFmtId="0" fontId="0" fillId="0" borderId="28" xfId="0" applyBorder="1" applyAlignment="1">
      <alignment vertical="center" wrapText="1"/>
    </xf>
    <xf numFmtId="0" fontId="4" fillId="0" borderId="37"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5" xfId="0" applyFont="1" applyBorder="1" applyAlignment="1">
      <alignment horizontal="left" vertical="top" wrapText="1"/>
    </xf>
    <xf numFmtId="0" fontId="4" fillId="0" borderId="28" xfId="0" applyFont="1" applyBorder="1" applyAlignment="1">
      <alignment horizontal="left" vertical="top" wrapText="1"/>
    </xf>
    <xf numFmtId="177" fontId="4" fillId="0" borderId="33" xfId="0" applyNumberFormat="1" applyFont="1" applyBorder="1" applyAlignment="1">
      <alignment horizontal="center" vertical="center" wrapText="1"/>
    </xf>
    <xf numFmtId="177" fontId="4" fillId="0" borderId="20" xfId="0" applyNumberFormat="1" applyFont="1" applyBorder="1" applyAlignment="1">
      <alignment horizontal="center" vertical="center" wrapText="1"/>
    </xf>
    <xf numFmtId="177" fontId="4" fillId="0" borderId="36" xfId="0" applyNumberFormat="1" applyFont="1" applyBorder="1" applyAlignment="1">
      <alignment horizontal="center" vertical="center" wrapText="1"/>
    </xf>
    <xf numFmtId="177" fontId="4" fillId="0" borderId="21" xfId="0" applyNumberFormat="1" applyFont="1" applyBorder="1" applyAlignment="1">
      <alignment horizontal="center" vertical="center" wrapText="1"/>
    </xf>
    <xf numFmtId="0" fontId="2" fillId="0" borderId="40" xfId="0" applyFont="1" applyBorder="1" applyAlignment="1">
      <alignment horizontal="center" vertical="center" textRotation="255" wrapText="1"/>
    </xf>
    <xf numFmtId="0" fontId="4" fillId="0" borderId="0" xfId="0" applyFont="1" applyAlignment="1">
      <alignment vertical="center" wrapText="1"/>
    </xf>
    <xf numFmtId="0" fontId="2" fillId="0" borderId="4" xfId="0" applyFont="1" applyBorder="1" applyAlignment="1">
      <alignment horizontal="left" vertical="center"/>
    </xf>
    <xf numFmtId="0" fontId="9" fillId="0" borderId="0" xfId="0" applyFont="1" applyAlignment="1">
      <alignment vertical="center" wrapText="1"/>
    </xf>
    <xf numFmtId="0" fontId="2" fillId="0" borderId="1" xfId="0" applyFont="1" applyBorder="1" applyAlignment="1">
      <alignment horizontal="center" vertical="center" textRotation="255" wrapText="1"/>
    </xf>
  </cellXfs>
  <cellStyles count="7">
    <cellStyle name="一般" xfId="0" builtinId="0"/>
    <cellStyle name="一般 2" xfId="2"/>
    <cellStyle name="一般 3" xfId="3"/>
    <cellStyle name="一般 4" xfId="4"/>
    <cellStyle name="一般 5" xfId="5"/>
    <cellStyle name="一般_D4-1C-03" xfId="1"/>
    <cellStyle name="百分比 2"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3</xdr:row>
      <xdr:rowOff>9525</xdr:rowOff>
    </xdr:from>
    <xdr:to>
      <xdr:col>3</xdr:col>
      <xdr:colOff>19050</xdr:colOff>
      <xdr:row>5</xdr:row>
      <xdr:rowOff>19050</xdr:rowOff>
    </xdr:to>
    <xdr:sp macro="" textlink="">
      <xdr:nvSpPr>
        <xdr:cNvPr id="2" name="Line 1"/>
        <xdr:cNvSpPr>
          <a:spLocks noChangeShapeType="1"/>
        </xdr:cNvSpPr>
      </xdr:nvSpPr>
      <xdr:spPr bwMode="auto">
        <a:xfrm>
          <a:off x="1323975" y="447675"/>
          <a:ext cx="695325" cy="447675"/>
        </a:xfrm>
        <a:prstGeom prst="line">
          <a:avLst/>
        </a:prstGeom>
        <a:noFill/>
        <a:ln w="9525">
          <a:solidFill>
            <a:srgbClr val="000000"/>
          </a:solidFill>
          <a:round/>
          <a:headEnd/>
          <a:tailEnd/>
        </a:ln>
      </xdr:spPr>
    </xdr:sp>
    <xdr:clientData/>
  </xdr:twoCellAnchor>
  <xdr:twoCellAnchor>
    <xdr:from>
      <xdr:col>2</xdr:col>
      <xdr:colOff>9525</xdr:colOff>
      <xdr:row>10</xdr:row>
      <xdr:rowOff>9525</xdr:rowOff>
    </xdr:from>
    <xdr:to>
      <xdr:col>3</xdr:col>
      <xdr:colOff>19050</xdr:colOff>
      <xdr:row>12</xdr:row>
      <xdr:rowOff>19050</xdr:rowOff>
    </xdr:to>
    <xdr:sp macro="" textlink="">
      <xdr:nvSpPr>
        <xdr:cNvPr id="3" name="Line 1"/>
        <xdr:cNvSpPr>
          <a:spLocks noChangeShapeType="1"/>
        </xdr:cNvSpPr>
      </xdr:nvSpPr>
      <xdr:spPr bwMode="auto">
        <a:xfrm>
          <a:off x="1323975" y="1981200"/>
          <a:ext cx="695325" cy="447675"/>
        </a:xfrm>
        <a:prstGeom prst="line">
          <a:avLst/>
        </a:prstGeom>
        <a:noFill/>
        <a:ln w="9525">
          <a:solidFill>
            <a:srgbClr val="000000"/>
          </a:solidFill>
          <a:round/>
          <a:headEnd/>
          <a:tailEnd/>
        </a:ln>
      </xdr:spPr>
    </xdr:sp>
    <xdr:clientData/>
  </xdr:twoCellAnchor>
  <xdr:twoCellAnchor>
    <xdr:from>
      <xdr:col>2</xdr:col>
      <xdr:colOff>9525</xdr:colOff>
      <xdr:row>17</xdr:row>
      <xdr:rowOff>9525</xdr:rowOff>
    </xdr:from>
    <xdr:to>
      <xdr:col>3</xdr:col>
      <xdr:colOff>19050</xdr:colOff>
      <xdr:row>19</xdr:row>
      <xdr:rowOff>19050</xdr:rowOff>
    </xdr:to>
    <xdr:sp macro="" textlink="">
      <xdr:nvSpPr>
        <xdr:cNvPr id="4" name="Line 1"/>
        <xdr:cNvSpPr>
          <a:spLocks noChangeShapeType="1"/>
        </xdr:cNvSpPr>
      </xdr:nvSpPr>
      <xdr:spPr bwMode="auto">
        <a:xfrm>
          <a:off x="1323975" y="4219575"/>
          <a:ext cx="695325" cy="447675"/>
        </a:xfrm>
        <a:prstGeom prst="line">
          <a:avLst/>
        </a:prstGeom>
        <a:noFill/>
        <a:ln w="9525">
          <a:solidFill>
            <a:srgbClr val="000000"/>
          </a:solidFill>
          <a:round/>
          <a:headEnd/>
          <a:tailEnd/>
        </a:ln>
      </xdr:spPr>
    </xdr:sp>
    <xdr:clientData/>
  </xdr:twoCellAnchor>
  <xdr:twoCellAnchor>
    <xdr:from>
      <xdr:col>2</xdr:col>
      <xdr:colOff>9525</xdr:colOff>
      <xdr:row>24</xdr:row>
      <xdr:rowOff>9525</xdr:rowOff>
    </xdr:from>
    <xdr:to>
      <xdr:col>3</xdr:col>
      <xdr:colOff>19050</xdr:colOff>
      <xdr:row>26</xdr:row>
      <xdr:rowOff>19050</xdr:rowOff>
    </xdr:to>
    <xdr:sp macro="" textlink="">
      <xdr:nvSpPr>
        <xdr:cNvPr id="5" name="Line 1"/>
        <xdr:cNvSpPr>
          <a:spLocks noChangeShapeType="1"/>
        </xdr:cNvSpPr>
      </xdr:nvSpPr>
      <xdr:spPr bwMode="auto">
        <a:xfrm>
          <a:off x="1323975" y="5753100"/>
          <a:ext cx="695325" cy="447675"/>
        </a:xfrm>
        <a:prstGeom prst="line">
          <a:avLst/>
        </a:prstGeom>
        <a:noFill/>
        <a:ln w="9525">
          <a:solidFill>
            <a:srgbClr val="000000"/>
          </a:solidFill>
          <a:round/>
          <a:headEnd/>
          <a:tailEnd/>
        </a:ln>
      </xdr:spPr>
    </xdr:sp>
    <xdr:clientData/>
  </xdr:twoCellAnchor>
  <xdr:twoCellAnchor>
    <xdr:from>
      <xdr:col>2</xdr:col>
      <xdr:colOff>9525</xdr:colOff>
      <xdr:row>31</xdr:row>
      <xdr:rowOff>9525</xdr:rowOff>
    </xdr:from>
    <xdr:to>
      <xdr:col>3</xdr:col>
      <xdr:colOff>19050</xdr:colOff>
      <xdr:row>33</xdr:row>
      <xdr:rowOff>19050</xdr:rowOff>
    </xdr:to>
    <xdr:sp macro="" textlink="">
      <xdr:nvSpPr>
        <xdr:cNvPr id="6" name="Line 1"/>
        <xdr:cNvSpPr>
          <a:spLocks noChangeShapeType="1"/>
        </xdr:cNvSpPr>
      </xdr:nvSpPr>
      <xdr:spPr bwMode="auto">
        <a:xfrm>
          <a:off x="1323975" y="7286625"/>
          <a:ext cx="695325" cy="447675"/>
        </a:xfrm>
        <a:prstGeom prst="line">
          <a:avLst/>
        </a:prstGeom>
        <a:noFill/>
        <a:ln w="9525">
          <a:solidFill>
            <a:srgbClr val="000000"/>
          </a:solidFill>
          <a:round/>
          <a:headEnd/>
          <a:tailEnd/>
        </a:ln>
      </xdr:spPr>
    </xdr:sp>
    <xdr:clientData/>
  </xdr:twoCellAnchor>
  <xdr:twoCellAnchor>
    <xdr:from>
      <xdr:col>2</xdr:col>
      <xdr:colOff>9525</xdr:colOff>
      <xdr:row>38</xdr:row>
      <xdr:rowOff>9525</xdr:rowOff>
    </xdr:from>
    <xdr:to>
      <xdr:col>3</xdr:col>
      <xdr:colOff>19050</xdr:colOff>
      <xdr:row>40</xdr:row>
      <xdr:rowOff>19050</xdr:rowOff>
    </xdr:to>
    <xdr:sp macro="" textlink="">
      <xdr:nvSpPr>
        <xdr:cNvPr id="7" name="Line 1"/>
        <xdr:cNvSpPr>
          <a:spLocks noChangeShapeType="1"/>
        </xdr:cNvSpPr>
      </xdr:nvSpPr>
      <xdr:spPr bwMode="auto">
        <a:xfrm>
          <a:off x="1323975" y="8820150"/>
          <a:ext cx="695325" cy="447675"/>
        </a:xfrm>
        <a:prstGeom prst="line">
          <a:avLst/>
        </a:prstGeom>
        <a:noFill/>
        <a:ln w="9525">
          <a:solidFill>
            <a:srgbClr val="000000"/>
          </a:solidFill>
          <a:round/>
          <a:headEnd/>
          <a:tailEnd/>
        </a:ln>
      </xdr:spPr>
    </xdr:sp>
    <xdr:clientData/>
  </xdr:twoCellAnchor>
  <xdr:twoCellAnchor>
    <xdr:from>
      <xdr:col>2</xdr:col>
      <xdr:colOff>9525</xdr:colOff>
      <xdr:row>45</xdr:row>
      <xdr:rowOff>9525</xdr:rowOff>
    </xdr:from>
    <xdr:to>
      <xdr:col>3</xdr:col>
      <xdr:colOff>19050</xdr:colOff>
      <xdr:row>47</xdr:row>
      <xdr:rowOff>19050</xdr:rowOff>
    </xdr:to>
    <xdr:sp macro="" textlink="">
      <xdr:nvSpPr>
        <xdr:cNvPr id="8" name="Line 1"/>
        <xdr:cNvSpPr>
          <a:spLocks noChangeShapeType="1"/>
        </xdr:cNvSpPr>
      </xdr:nvSpPr>
      <xdr:spPr bwMode="auto">
        <a:xfrm>
          <a:off x="1323975" y="10353675"/>
          <a:ext cx="695325" cy="447675"/>
        </a:xfrm>
        <a:prstGeom prst="line">
          <a:avLst/>
        </a:prstGeom>
        <a:noFill/>
        <a:ln w="9525">
          <a:solidFill>
            <a:srgbClr val="000000"/>
          </a:solidFill>
          <a:round/>
          <a:headEnd/>
          <a:tailEnd/>
        </a:ln>
      </xdr:spPr>
    </xdr:sp>
    <xdr:clientData/>
  </xdr:twoCellAnchor>
  <xdr:twoCellAnchor>
    <xdr:from>
      <xdr:col>2</xdr:col>
      <xdr:colOff>9525</xdr:colOff>
      <xdr:row>52</xdr:row>
      <xdr:rowOff>9525</xdr:rowOff>
    </xdr:from>
    <xdr:to>
      <xdr:col>3</xdr:col>
      <xdr:colOff>19050</xdr:colOff>
      <xdr:row>54</xdr:row>
      <xdr:rowOff>19050</xdr:rowOff>
    </xdr:to>
    <xdr:sp macro="" textlink="">
      <xdr:nvSpPr>
        <xdr:cNvPr id="9" name="Line 1"/>
        <xdr:cNvSpPr>
          <a:spLocks noChangeShapeType="1"/>
        </xdr:cNvSpPr>
      </xdr:nvSpPr>
      <xdr:spPr bwMode="auto">
        <a:xfrm>
          <a:off x="1323975" y="11887200"/>
          <a:ext cx="695325" cy="447675"/>
        </a:xfrm>
        <a:prstGeom prst="line">
          <a:avLst/>
        </a:prstGeom>
        <a:noFill/>
        <a:ln w="9525">
          <a:solidFill>
            <a:srgbClr val="000000"/>
          </a:solidFill>
          <a:round/>
          <a:headEnd/>
          <a:tailEnd/>
        </a:ln>
      </xdr:spPr>
    </xdr:sp>
    <xdr:clientData/>
  </xdr:twoCellAnchor>
  <xdr:twoCellAnchor>
    <xdr:from>
      <xdr:col>2</xdr:col>
      <xdr:colOff>9525</xdr:colOff>
      <xdr:row>59</xdr:row>
      <xdr:rowOff>9525</xdr:rowOff>
    </xdr:from>
    <xdr:to>
      <xdr:col>3</xdr:col>
      <xdr:colOff>19050</xdr:colOff>
      <xdr:row>61</xdr:row>
      <xdr:rowOff>19050</xdr:rowOff>
    </xdr:to>
    <xdr:sp macro="" textlink="">
      <xdr:nvSpPr>
        <xdr:cNvPr id="10" name="Line 1"/>
        <xdr:cNvSpPr>
          <a:spLocks noChangeShapeType="1"/>
        </xdr:cNvSpPr>
      </xdr:nvSpPr>
      <xdr:spPr bwMode="auto">
        <a:xfrm>
          <a:off x="1323975" y="13420725"/>
          <a:ext cx="695325" cy="447675"/>
        </a:xfrm>
        <a:prstGeom prst="line">
          <a:avLst/>
        </a:prstGeom>
        <a:noFill/>
        <a:ln w="9525">
          <a:solidFill>
            <a:srgbClr val="000000"/>
          </a:solidFill>
          <a:round/>
          <a:headEnd/>
          <a:tailEnd/>
        </a:ln>
      </xdr:spPr>
    </xdr:sp>
    <xdr:clientData/>
  </xdr:twoCellAnchor>
  <xdr:twoCellAnchor>
    <xdr:from>
      <xdr:col>2</xdr:col>
      <xdr:colOff>9525</xdr:colOff>
      <xdr:row>66</xdr:row>
      <xdr:rowOff>9525</xdr:rowOff>
    </xdr:from>
    <xdr:to>
      <xdr:col>3</xdr:col>
      <xdr:colOff>19050</xdr:colOff>
      <xdr:row>68</xdr:row>
      <xdr:rowOff>19050</xdr:rowOff>
    </xdr:to>
    <xdr:sp macro="" textlink="">
      <xdr:nvSpPr>
        <xdr:cNvPr id="11" name="Line 1"/>
        <xdr:cNvSpPr>
          <a:spLocks noChangeShapeType="1"/>
        </xdr:cNvSpPr>
      </xdr:nvSpPr>
      <xdr:spPr bwMode="auto">
        <a:xfrm>
          <a:off x="1323975" y="14954250"/>
          <a:ext cx="695325" cy="447675"/>
        </a:xfrm>
        <a:prstGeom prst="line">
          <a:avLst/>
        </a:prstGeom>
        <a:noFill/>
        <a:ln w="9525">
          <a:solidFill>
            <a:srgbClr val="000000"/>
          </a:solidFill>
          <a:round/>
          <a:headEnd/>
          <a:tailEnd/>
        </a:ln>
      </xdr:spPr>
    </xdr:sp>
    <xdr:clientData/>
  </xdr:twoCellAnchor>
  <xdr:twoCellAnchor>
    <xdr:from>
      <xdr:col>2</xdr:col>
      <xdr:colOff>9525</xdr:colOff>
      <xdr:row>73</xdr:row>
      <xdr:rowOff>9525</xdr:rowOff>
    </xdr:from>
    <xdr:to>
      <xdr:col>3</xdr:col>
      <xdr:colOff>19050</xdr:colOff>
      <xdr:row>75</xdr:row>
      <xdr:rowOff>19050</xdr:rowOff>
    </xdr:to>
    <xdr:sp macro="" textlink="">
      <xdr:nvSpPr>
        <xdr:cNvPr id="12" name="Line 1"/>
        <xdr:cNvSpPr>
          <a:spLocks noChangeShapeType="1"/>
        </xdr:cNvSpPr>
      </xdr:nvSpPr>
      <xdr:spPr bwMode="auto">
        <a:xfrm>
          <a:off x="1323975" y="16487775"/>
          <a:ext cx="695325" cy="561975"/>
        </a:xfrm>
        <a:prstGeom prst="line">
          <a:avLst/>
        </a:prstGeom>
        <a:noFill/>
        <a:ln w="9525">
          <a:solidFill>
            <a:srgbClr val="000000"/>
          </a:solidFill>
          <a:round/>
          <a:headEnd/>
          <a:tailEnd/>
        </a:ln>
      </xdr:spPr>
    </xdr:sp>
    <xdr:clientData/>
  </xdr:twoCellAnchor>
  <xdr:twoCellAnchor>
    <xdr:from>
      <xdr:col>2</xdr:col>
      <xdr:colOff>9525</xdr:colOff>
      <xdr:row>80</xdr:row>
      <xdr:rowOff>9525</xdr:rowOff>
    </xdr:from>
    <xdr:to>
      <xdr:col>3</xdr:col>
      <xdr:colOff>19050</xdr:colOff>
      <xdr:row>82</xdr:row>
      <xdr:rowOff>19050</xdr:rowOff>
    </xdr:to>
    <xdr:sp macro="" textlink="">
      <xdr:nvSpPr>
        <xdr:cNvPr id="13" name="Line 1"/>
        <xdr:cNvSpPr>
          <a:spLocks noChangeShapeType="1"/>
        </xdr:cNvSpPr>
      </xdr:nvSpPr>
      <xdr:spPr bwMode="auto">
        <a:xfrm>
          <a:off x="1323975" y="18421350"/>
          <a:ext cx="695325" cy="504825"/>
        </a:xfrm>
        <a:prstGeom prst="line">
          <a:avLst/>
        </a:prstGeom>
        <a:noFill/>
        <a:ln w="9525">
          <a:solidFill>
            <a:srgbClr val="000000"/>
          </a:solidFill>
          <a:round/>
          <a:headEnd/>
          <a:tailEnd/>
        </a:ln>
      </xdr:spPr>
    </xdr:sp>
    <xdr:clientData/>
  </xdr:twoCellAnchor>
  <xdr:twoCellAnchor>
    <xdr:from>
      <xdr:col>2</xdr:col>
      <xdr:colOff>9525</xdr:colOff>
      <xdr:row>87</xdr:row>
      <xdr:rowOff>9525</xdr:rowOff>
    </xdr:from>
    <xdr:to>
      <xdr:col>3</xdr:col>
      <xdr:colOff>19050</xdr:colOff>
      <xdr:row>89</xdr:row>
      <xdr:rowOff>19050</xdr:rowOff>
    </xdr:to>
    <xdr:sp macro="" textlink="">
      <xdr:nvSpPr>
        <xdr:cNvPr id="14" name="Line 1"/>
        <xdr:cNvSpPr>
          <a:spLocks noChangeShapeType="1"/>
        </xdr:cNvSpPr>
      </xdr:nvSpPr>
      <xdr:spPr bwMode="auto">
        <a:xfrm>
          <a:off x="1323975" y="20154900"/>
          <a:ext cx="695325" cy="533400"/>
        </a:xfrm>
        <a:prstGeom prst="line">
          <a:avLst/>
        </a:prstGeom>
        <a:noFill/>
        <a:ln w="9525">
          <a:solidFill>
            <a:srgbClr val="000000"/>
          </a:solidFill>
          <a:round/>
          <a:headEnd/>
          <a:tailEnd/>
        </a:ln>
      </xdr:spPr>
    </xdr:sp>
    <xdr:clientData/>
  </xdr:twoCellAnchor>
  <xdr:twoCellAnchor>
    <xdr:from>
      <xdr:col>2</xdr:col>
      <xdr:colOff>9525</xdr:colOff>
      <xdr:row>94</xdr:row>
      <xdr:rowOff>9525</xdr:rowOff>
    </xdr:from>
    <xdr:to>
      <xdr:col>3</xdr:col>
      <xdr:colOff>19050</xdr:colOff>
      <xdr:row>96</xdr:row>
      <xdr:rowOff>19050</xdr:rowOff>
    </xdr:to>
    <xdr:sp macro="" textlink="">
      <xdr:nvSpPr>
        <xdr:cNvPr id="15" name="Line 1"/>
        <xdr:cNvSpPr>
          <a:spLocks noChangeShapeType="1"/>
        </xdr:cNvSpPr>
      </xdr:nvSpPr>
      <xdr:spPr bwMode="auto">
        <a:xfrm>
          <a:off x="1323975" y="22259925"/>
          <a:ext cx="695325" cy="552450"/>
        </a:xfrm>
        <a:prstGeom prst="line">
          <a:avLst/>
        </a:prstGeom>
        <a:noFill/>
        <a:ln w="9525">
          <a:solidFill>
            <a:srgbClr val="000000"/>
          </a:solidFill>
          <a:round/>
          <a:headEnd/>
          <a:tailEnd/>
        </a:ln>
      </xdr:spPr>
    </xdr:sp>
    <xdr:clientData/>
  </xdr:twoCellAnchor>
  <xdr:twoCellAnchor>
    <xdr:from>
      <xdr:col>2</xdr:col>
      <xdr:colOff>9525</xdr:colOff>
      <xdr:row>101</xdr:row>
      <xdr:rowOff>9525</xdr:rowOff>
    </xdr:from>
    <xdr:to>
      <xdr:col>3</xdr:col>
      <xdr:colOff>19050</xdr:colOff>
      <xdr:row>103</xdr:row>
      <xdr:rowOff>19050</xdr:rowOff>
    </xdr:to>
    <xdr:sp macro="" textlink="">
      <xdr:nvSpPr>
        <xdr:cNvPr id="16" name="Line 1"/>
        <xdr:cNvSpPr>
          <a:spLocks noChangeShapeType="1"/>
        </xdr:cNvSpPr>
      </xdr:nvSpPr>
      <xdr:spPr bwMode="auto">
        <a:xfrm>
          <a:off x="1323975" y="23936325"/>
          <a:ext cx="695325" cy="438150"/>
        </a:xfrm>
        <a:prstGeom prst="line">
          <a:avLst/>
        </a:prstGeom>
        <a:noFill/>
        <a:ln w="9525">
          <a:solidFill>
            <a:srgbClr val="000000"/>
          </a:solidFill>
          <a:round/>
          <a:headEnd/>
          <a:tailEnd/>
        </a:ln>
      </xdr:spPr>
    </xdr:sp>
    <xdr:clientData/>
  </xdr:twoCellAnchor>
  <xdr:twoCellAnchor>
    <xdr:from>
      <xdr:col>2</xdr:col>
      <xdr:colOff>9525</xdr:colOff>
      <xdr:row>108</xdr:row>
      <xdr:rowOff>9525</xdr:rowOff>
    </xdr:from>
    <xdr:to>
      <xdr:col>3</xdr:col>
      <xdr:colOff>19050</xdr:colOff>
      <xdr:row>110</xdr:row>
      <xdr:rowOff>19050</xdr:rowOff>
    </xdr:to>
    <xdr:sp macro="" textlink="">
      <xdr:nvSpPr>
        <xdr:cNvPr id="17" name="Line 1"/>
        <xdr:cNvSpPr>
          <a:spLocks noChangeShapeType="1"/>
        </xdr:cNvSpPr>
      </xdr:nvSpPr>
      <xdr:spPr bwMode="auto">
        <a:xfrm>
          <a:off x="1323975" y="25479375"/>
          <a:ext cx="695325" cy="438150"/>
        </a:xfrm>
        <a:prstGeom prst="line">
          <a:avLst/>
        </a:prstGeom>
        <a:noFill/>
        <a:ln w="9525">
          <a:solidFill>
            <a:srgbClr val="000000"/>
          </a:solidFill>
          <a:round/>
          <a:headEnd/>
          <a:tailEnd/>
        </a:ln>
      </xdr:spPr>
    </xdr:sp>
    <xdr:clientData/>
  </xdr:twoCellAnchor>
  <xdr:twoCellAnchor>
    <xdr:from>
      <xdr:col>2</xdr:col>
      <xdr:colOff>9525</xdr:colOff>
      <xdr:row>129</xdr:row>
      <xdr:rowOff>9525</xdr:rowOff>
    </xdr:from>
    <xdr:to>
      <xdr:col>3</xdr:col>
      <xdr:colOff>19050</xdr:colOff>
      <xdr:row>131</xdr:row>
      <xdr:rowOff>9525</xdr:rowOff>
    </xdr:to>
    <xdr:sp macro="" textlink="">
      <xdr:nvSpPr>
        <xdr:cNvPr id="18" name="Line 1"/>
        <xdr:cNvSpPr>
          <a:spLocks noChangeShapeType="1"/>
        </xdr:cNvSpPr>
      </xdr:nvSpPr>
      <xdr:spPr bwMode="auto">
        <a:xfrm>
          <a:off x="1323975" y="30918150"/>
          <a:ext cx="695325" cy="409575"/>
        </a:xfrm>
        <a:prstGeom prst="line">
          <a:avLst/>
        </a:prstGeom>
        <a:noFill/>
        <a:ln w="9525">
          <a:solidFill>
            <a:srgbClr val="000000"/>
          </a:solidFill>
          <a:round/>
          <a:headEnd/>
          <a:tailEnd/>
        </a:ln>
      </xdr:spPr>
    </xdr:sp>
    <xdr:clientData/>
  </xdr:twoCellAnchor>
  <xdr:twoCellAnchor>
    <xdr:from>
      <xdr:col>2</xdr:col>
      <xdr:colOff>9525</xdr:colOff>
      <xdr:row>136</xdr:row>
      <xdr:rowOff>9525</xdr:rowOff>
    </xdr:from>
    <xdr:to>
      <xdr:col>3</xdr:col>
      <xdr:colOff>19050</xdr:colOff>
      <xdr:row>138</xdr:row>
      <xdr:rowOff>9525</xdr:rowOff>
    </xdr:to>
    <xdr:sp macro="" textlink="">
      <xdr:nvSpPr>
        <xdr:cNvPr id="19" name="Line 1"/>
        <xdr:cNvSpPr>
          <a:spLocks noChangeShapeType="1"/>
        </xdr:cNvSpPr>
      </xdr:nvSpPr>
      <xdr:spPr bwMode="auto">
        <a:xfrm>
          <a:off x="1323975" y="32385000"/>
          <a:ext cx="695325" cy="428625"/>
        </a:xfrm>
        <a:prstGeom prst="line">
          <a:avLst/>
        </a:prstGeom>
        <a:noFill/>
        <a:ln w="9525">
          <a:solidFill>
            <a:srgbClr val="000000"/>
          </a:solidFill>
          <a:round/>
          <a:headEnd/>
          <a:tailEnd/>
        </a:ln>
      </xdr:spPr>
    </xdr:sp>
    <xdr:clientData/>
  </xdr:twoCellAnchor>
  <xdr:twoCellAnchor>
    <xdr:from>
      <xdr:col>2</xdr:col>
      <xdr:colOff>9525</xdr:colOff>
      <xdr:row>157</xdr:row>
      <xdr:rowOff>9525</xdr:rowOff>
    </xdr:from>
    <xdr:to>
      <xdr:col>3</xdr:col>
      <xdr:colOff>19050</xdr:colOff>
      <xdr:row>159</xdr:row>
      <xdr:rowOff>19050</xdr:rowOff>
    </xdr:to>
    <xdr:sp macro="" textlink="">
      <xdr:nvSpPr>
        <xdr:cNvPr id="20" name="Line 1"/>
        <xdr:cNvSpPr>
          <a:spLocks noChangeShapeType="1"/>
        </xdr:cNvSpPr>
      </xdr:nvSpPr>
      <xdr:spPr bwMode="auto">
        <a:xfrm>
          <a:off x="1323975" y="37128450"/>
          <a:ext cx="695325" cy="695325"/>
        </a:xfrm>
        <a:prstGeom prst="line">
          <a:avLst/>
        </a:prstGeom>
        <a:noFill/>
        <a:ln w="9525">
          <a:solidFill>
            <a:srgbClr val="000000"/>
          </a:solidFill>
          <a:round/>
          <a:headEnd/>
          <a:tailEnd/>
        </a:ln>
      </xdr:spPr>
    </xdr:sp>
    <xdr:clientData/>
  </xdr:twoCellAnchor>
  <xdr:twoCellAnchor>
    <xdr:from>
      <xdr:col>2</xdr:col>
      <xdr:colOff>9525</xdr:colOff>
      <xdr:row>143</xdr:row>
      <xdr:rowOff>9525</xdr:rowOff>
    </xdr:from>
    <xdr:to>
      <xdr:col>3</xdr:col>
      <xdr:colOff>19050</xdr:colOff>
      <xdr:row>145</xdr:row>
      <xdr:rowOff>9525</xdr:rowOff>
    </xdr:to>
    <xdr:sp macro="" textlink="">
      <xdr:nvSpPr>
        <xdr:cNvPr id="21" name="Line 1"/>
        <xdr:cNvSpPr>
          <a:spLocks noChangeShapeType="1"/>
        </xdr:cNvSpPr>
      </xdr:nvSpPr>
      <xdr:spPr bwMode="auto">
        <a:xfrm>
          <a:off x="1323975" y="33909000"/>
          <a:ext cx="695325" cy="428625"/>
        </a:xfrm>
        <a:prstGeom prst="line">
          <a:avLst/>
        </a:prstGeom>
        <a:noFill/>
        <a:ln w="9525">
          <a:solidFill>
            <a:srgbClr val="000000"/>
          </a:solidFill>
          <a:round/>
          <a:headEnd/>
          <a:tailEnd/>
        </a:ln>
      </xdr:spPr>
    </xdr:sp>
    <xdr:clientData/>
  </xdr:twoCellAnchor>
  <xdr:twoCellAnchor>
    <xdr:from>
      <xdr:col>2</xdr:col>
      <xdr:colOff>9525</xdr:colOff>
      <xdr:row>150</xdr:row>
      <xdr:rowOff>9525</xdr:rowOff>
    </xdr:from>
    <xdr:to>
      <xdr:col>3</xdr:col>
      <xdr:colOff>19050</xdr:colOff>
      <xdr:row>152</xdr:row>
      <xdr:rowOff>9525</xdr:rowOff>
    </xdr:to>
    <xdr:sp macro="" textlink="">
      <xdr:nvSpPr>
        <xdr:cNvPr id="22" name="Line 1"/>
        <xdr:cNvSpPr>
          <a:spLocks noChangeShapeType="1"/>
        </xdr:cNvSpPr>
      </xdr:nvSpPr>
      <xdr:spPr bwMode="auto">
        <a:xfrm>
          <a:off x="1323975" y="35394900"/>
          <a:ext cx="695325" cy="495300"/>
        </a:xfrm>
        <a:prstGeom prst="line">
          <a:avLst/>
        </a:prstGeom>
        <a:noFill/>
        <a:ln w="9525">
          <a:solidFill>
            <a:srgbClr val="000000"/>
          </a:solidFill>
          <a:round/>
          <a:headEnd/>
          <a:tailEnd/>
        </a:ln>
      </xdr:spPr>
    </xdr:sp>
    <xdr:clientData/>
  </xdr:twoCellAnchor>
  <xdr:twoCellAnchor>
    <xdr:from>
      <xdr:col>2</xdr:col>
      <xdr:colOff>9525</xdr:colOff>
      <xdr:row>164</xdr:row>
      <xdr:rowOff>9525</xdr:rowOff>
    </xdr:from>
    <xdr:to>
      <xdr:col>3</xdr:col>
      <xdr:colOff>19050</xdr:colOff>
      <xdr:row>166</xdr:row>
      <xdr:rowOff>19050</xdr:rowOff>
    </xdr:to>
    <xdr:sp macro="" textlink="">
      <xdr:nvSpPr>
        <xdr:cNvPr id="23" name="Line 1"/>
        <xdr:cNvSpPr>
          <a:spLocks noChangeShapeType="1"/>
        </xdr:cNvSpPr>
      </xdr:nvSpPr>
      <xdr:spPr bwMode="auto">
        <a:xfrm>
          <a:off x="1323975" y="38814375"/>
          <a:ext cx="695325" cy="466725"/>
        </a:xfrm>
        <a:prstGeom prst="line">
          <a:avLst/>
        </a:prstGeom>
        <a:noFill/>
        <a:ln w="9525">
          <a:solidFill>
            <a:srgbClr val="000000"/>
          </a:solidFill>
          <a:round/>
          <a:headEnd/>
          <a:tailEnd/>
        </a:ln>
      </xdr:spPr>
    </xdr:sp>
    <xdr:clientData/>
  </xdr:twoCellAnchor>
  <xdr:twoCellAnchor>
    <xdr:from>
      <xdr:col>2</xdr:col>
      <xdr:colOff>9525</xdr:colOff>
      <xdr:row>115</xdr:row>
      <xdr:rowOff>9525</xdr:rowOff>
    </xdr:from>
    <xdr:to>
      <xdr:col>3</xdr:col>
      <xdr:colOff>9525</xdr:colOff>
      <xdr:row>117</xdr:row>
      <xdr:rowOff>0</xdr:rowOff>
    </xdr:to>
    <xdr:sp macro="" textlink="">
      <xdr:nvSpPr>
        <xdr:cNvPr id="24" name="Line 1"/>
        <xdr:cNvSpPr>
          <a:spLocks noChangeShapeType="1"/>
        </xdr:cNvSpPr>
      </xdr:nvSpPr>
      <xdr:spPr bwMode="auto">
        <a:xfrm>
          <a:off x="1323975" y="26965275"/>
          <a:ext cx="685800" cy="409575"/>
        </a:xfrm>
        <a:prstGeom prst="line">
          <a:avLst/>
        </a:prstGeom>
        <a:noFill/>
        <a:ln w="9525">
          <a:solidFill>
            <a:srgbClr val="000000"/>
          </a:solidFill>
          <a:round/>
          <a:headEnd/>
          <a:tailEnd/>
        </a:ln>
      </xdr:spPr>
    </xdr:sp>
    <xdr:clientData/>
  </xdr:twoCellAnchor>
  <xdr:twoCellAnchor>
    <xdr:from>
      <xdr:col>2</xdr:col>
      <xdr:colOff>19050</xdr:colOff>
      <xdr:row>122</xdr:row>
      <xdr:rowOff>9525</xdr:rowOff>
    </xdr:from>
    <xdr:to>
      <xdr:col>3</xdr:col>
      <xdr:colOff>19050</xdr:colOff>
      <xdr:row>124</xdr:row>
      <xdr:rowOff>19050</xdr:rowOff>
    </xdr:to>
    <xdr:sp macro="" textlink="">
      <xdr:nvSpPr>
        <xdr:cNvPr id="25" name="Line 1"/>
        <xdr:cNvSpPr>
          <a:spLocks noChangeShapeType="1"/>
        </xdr:cNvSpPr>
      </xdr:nvSpPr>
      <xdr:spPr bwMode="auto">
        <a:xfrm>
          <a:off x="1333500" y="28441650"/>
          <a:ext cx="685800" cy="419100"/>
        </a:xfrm>
        <a:prstGeom prst="line">
          <a:avLst/>
        </a:prstGeom>
        <a:noFill/>
        <a:ln w="9525">
          <a:solidFill>
            <a:srgbClr val="000000"/>
          </a:solidFill>
          <a:round/>
          <a:headEnd/>
          <a:tailEnd/>
        </a:ln>
      </xdr:spPr>
    </xdr:sp>
    <xdr:clientData/>
  </xdr:twoCellAnchor>
  <xdr:twoCellAnchor>
    <xdr:from>
      <xdr:col>2</xdr:col>
      <xdr:colOff>9525</xdr:colOff>
      <xdr:row>10</xdr:row>
      <xdr:rowOff>9525</xdr:rowOff>
    </xdr:from>
    <xdr:to>
      <xdr:col>3</xdr:col>
      <xdr:colOff>19050</xdr:colOff>
      <xdr:row>12</xdr:row>
      <xdr:rowOff>19050</xdr:rowOff>
    </xdr:to>
    <xdr:sp macro="" textlink="">
      <xdr:nvSpPr>
        <xdr:cNvPr id="26" name="Line 1"/>
        <xdr:cNvSpPr>
          <a:spLocks noChangeShapeType="1"/>
        </xdr:cNvSpPr>
      </xdr:nvSpPr>
      <xdr:spPr bwMode="auto">
        <a:xfrm>
          <a:off x="1323975" y="1981200"/>
          <a:ext cx="695325" cy="447675"/>
        </a:xfrm>
        <a:prstGeom prst="line">
          <a:avLst/>
        </a:prstGeom>
        <a:noFill/>
        <a:ln w="9525">
          <a:solidFill>
            <a:srgbClr val="000000"/>
          </a:solidFill>
          <a:round/>
          <a:headEnd/>
          <a:tailEnd/>
        </a:ln>
      </xdr:spPr>
    </xdr:sp>
    <xdr:clientData/>
  </xdr:twoCellAnchor>
  <xdr:twoCellAnchor>
    <xdr:from>
      <xdr:col>2</xdr:col>
      <xdr:colOff>9525</xdr:colOff>
      <xdr:row>73</xdr:row>
      <xdr:rowOff>9525</xdr:rowOff>
    </xdr:from>
    <xdr:to>
      <xdr:col>3</xdr:col>
      <xdr:colOff>19050</xdr:colOff>
      <xdr:row>75</xdr:row>
      <xdr:rowOff>19050</xdr:rowOff>
    </xdr:to>
    <xdr:sp macro="" textlink="">
      <xdr:nvSpPr>
        <xdr:cNvPr id="27" name="Line 1"/>
        <xdr:cNvSpPr>
          <a:spLocks noChangeShapeType="1"/>
        </xdr:cNvSpPr>
      </xdr:nvSpPr>
      <xdr:spPr bwMode="auto">
        <a:xfrm>
          <a:off x="1323975" y="16487775"/>
          <a:ext cx="695325" cy="561975"/>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364"/>
  <sheetViews>
    <sheetView tabSelected="1" zoomScaleSheetLayoutView="90" workbookViewId="0">
      <selection sqref="A1:I179"/>
    </sheetView>
  </sheetViews>
  <sheetFormatPr defaultRowHeight="16.5"/>
  <cols>
    <col min="1" max="1" width="5.125" style="51" customWidth="1"/>
    <col min="2" max="2" width="12.125" style="1" customWidth="1"/>
    <col min="3" max="3" width="9" style="1"/>
    <col min="4" max="4" width="7.375" style="1" customWidth="1"/>
    <col min="5" max="5" width="6.625" style="1" customWidth="1"/>
    <col min="6" max="6" width="6.75" style="1" customWidth="1"/>
    <col min="7" max="8" width="5.75" style="1" customWidth="1"/>
    <col min="9" max="9" width="56.5" style="1" customWidth="1"/>
    <col min="10" max="16384" width="9" style="1"/>
  </cols>
  <sheetData>
    <row r="1" spans="1:10" ht="31.5" customHeight="1" thickBot="1">
      <c r="A1" s="53" t="s">
        <v>217</v>
      </c>
      <c r="B1" s="54"/>
      <c r="C1" s="55"/>
      <c r="D1" s="55"/>
      <c r="E1" s="55"/>
      <c r="F1" s="55"/>
      <c r="G1" s="55"/>
      <c r="H1" s="55"/>
      <c r="I1" s="56"/>
      <c r="J1" s="55"/>
    </row>
    <row r="2" spans="1:10" ht="17.25" customHeight="1" thickTop="1">
      <c r="A2" s="57" t="s">
        <v>0</v>
      </c>
      <c r="B2" s="59" t="s">
        <v>1</v>
      </c>
      <c r="C2" s="61" t="s">
        <v>2</v>
      </c>
      <c r="D2" s="62"/>
      <c r="E2" s="62"/>
      <c r="F2" s="62"/>
      <c r="G2" s="62"/>
      <c r="H2" s="63"/>
      <c r="I2" s="64" t="s">
        <v>3</v>
      </c>
    </row>
    <row r="3" spans="1:10" ht="17.25" customHeight="1" thickBot="1">
      <c r="A3" s="58"/>
      <c r="B3" s="60"/>
      <c r="C3" s="66" t="s">
        <v>4</v>
      </c>
      <c r="D3" s="67"/>
      <c r="E3" s="67"/>
      <c r="F3" s="67"/>
      <c r="G3" s="67"/>
      <c r="H3" s="68"/>
      <c r="I3" s="65"/>
    </row>
    <row r="4" spans="1:10" ht="17.25" customHeight="1">
      <c r="A4" s="69" t="s">
        <v>5</v>
      </c>
      <c r="B4" s="2" t="s">
        <v>6</v>
      </c>
      <c r="C4" s="3" t="s">
        <v>7</v>
      </c>
      <c r="D4" s="71" t="s">
        <v>8</v>
      </c>
      <c r="E4" s="71"/>
      <c r="F4" s="71"/>
      <c r="G4" s="71"/>
      <c r="H4" s="77" t="s">
        <v>9</v>
      </c>
      <c r="I4" s="4" t="s">
        <v>176</v>
      </c>
    </row>
    <row r="5" spans="1:10" ht="17.25" customHeight="1">
      <c r="A5" s="70"/>
      <c r="B5" s="5" t="s">
        <v>10</v>
      </c>
      <c r="C5" s="6" t="s">
        <v>11</v>
      </c>
      <c r="D5" s="72"/>
      <c r="E5" s="72"/>
      <c r="F5" s="72"/>
      <c r="G5" s="72"/>
      <c r="H5" s="78"/>
      <c r="I5" s="7" t="s">
        <v>177</v>
      </c>
    </row>
    <row r="6" spans="1:10" ht="17.25" customHeight="1">
      <c r="A6" s="70"/>
      <c r="B6" s="5" t="s">
        <v>12</v>
      </c>
      <c r="C6" s="8" t="s">
        <v>8</v>
      </c>
      <c r="D6" s="9">
        <v>0</v>
      </c>
      <c r="E6" s="9"/>
      <c r="F6" s="9"/>
      <c r="G6" s="9"/>
      <c r="H6" s="9">
        <f>$B$10</f>
        <v>30</v>
      </c>
      <c r="I6" s="7" t="s">
        <v>178</v>
      </c>
    </row>
    <row r="7" spans="1:10" ht="17.25" customHeight="1">
      <c r="A7" s="70"/>
      <c r="B7" s="5" t="s">
        <v>13</v>
      </c>
      <c r="C7" s="8"/>
      <c r="D7" s="9"/>
      <c r="E7" s="9"/>
      <c r="F7" s="9"/>
      <c r="G7" s="9"/>
      <c r="H7" s="9"/>
      <c r="I7" s="7"/>
    </row>
    <row r="8" spans="1:10" ht="17.25" customHeight="1">
      <c r="A8" s="70"/>
      <c r="B8" s="5" t="s">
        <v>159</v>
      </c>
      <c r="C8" s="8"/>
      <c r="D8" s="9"/>
      <c r="E8" s="9"/>
      <c r="F8" s="9"/>
      <c r="G8" s="9"/>
      <c r="H8" s="9"/>
      <c r="I8" s="7"/>
    </row>
    <row r="9" spans="1:10" ht="17.25" customHeight="1">
      <c r="A9" s="70"/>
      <c r="B9" s="5"/>
      <c r="C9" s="8"/>
      <c r="D9" s="9"/>
      <c r="E9" s="9"/>
      <c r="F9" s="9"/>
      <c r="G9" s="9"/>
      <c r="H9" s="9"/>
      <c r="I9" s="7"/>
    </row>
    <row r="10" spans="1:10" ht="17.25" customHeight="1" thickBot="1">
      <c r="A10" s="70"/>
      <c r="B10" s="10">
        <v>30</v>
      </c>
      <c r="C10" s="11" t="s">
        <v>9</v>
      </c>
      <c r="D10" s="9">
        <f>-$B$10</f>
        <v>-30</v>
      </c>
      <c r="E10" s="9"/>
      <c r="F10" s="9"/>
      <c r="G10" s="9"/>
      <c r="H10" s="9">
        <v>0</v>
      </c>
      <c r="I10" s="12"/>
    </row>
    <row r="11" spans="1:10" ht="17.25" customHeight="1">
      <c r="A11" s="70"/>
      <c r="B11" s="13" t="s">
        <v>14</v>
      </c>
      <c r="C11" s="3" t="s">
        <v>7</v>
      </c>
      <c r="D11" s="71" t="s">
        <v>8</v>
      </c>
      <c r="E11" s="71" t="s">
        <v>15</v>
      </c>
      <c r="F11" s="71" t="s">
        <v>16</v>
      </c>
      <c r="G11" s="71" t="s">
        <v>17</v>
      </c>
      <c r="H11" s="77" t="s">
        <v>9</v>
      </c>
      <c r="I11" s="14" t="s">
        <v>162</v>
      </c>
    </row>
    <row r="12" spans="1:10" ht="17.25" customHeight="1">
      <c r="A12" s="70"/>
      <c r="B12" s="15" t="s">
        <v>18</v>
      </c>
      <c r="C12" s="6" t="s">
        <v>11</v>
      </c>
      <c r="D12" s="72"/>
      <c r="E12" s="72"/>
      <c r="F12" s="72"/>
      <c r="G12" s="72"/>
      <c r="H12" s="78"/>
      <c r="I12" s="73" t="s">
        <v>165</v>
      </c>
    </row>
    <row r="13" spans="1:10" ht="17.25" customHeight="1">
      <c r="A13" s="70"/>
      <c r="B13" s="15" t="s">
        <v>160</v>
      </c>
      <c r="C13" s="8" t="s">
        <v>8</v>
      </c>
      <c r="D13" s="16">
        <v>0</v>
      </c>
      <c r="E13" s="16">
        <f>D13+$B$17/4</f>
        <v>7.5</v>
      </c>
      <c r="F13" s="16">
        <f>E13+$B$17/4</f>
        <v>15</v>
      </c>
      <c r="G13" s="16">
        <f>F13+$B$17/4</f>
        <v>22.5</v>
      </c>
      <c r="H13" s="16">
        <f>G13+$B$17/4</f>
        <v>30</v>
      </c>
      <c r="I13" s="74"/>
    </row>
    <row r="14" spans="1:10" ht="21" customHeight="1">
      <c r="A14" s="70"/>
      <c r="B14" s="15" t="s">
        <v>161</v>
      </c>
      <c r="C14" s="8" t="s">
        <v>15</v>
      </c>
      <c r="D14" s="16">
        <f>D13-$B$17/4</f>
        <v>-7.5</v>
      </c>
      <c r="E14" s="16">
        <f>D13</f>
        <v>0</v>
      </c>
      <c r="F14" s="16">
        <f>E14+$B$17/4</f>
        <v>7.5</v>
      </c>
      <c r="G14" s="16">
        <f>F14+$B$17/4</f>
        <v>15</v>
      </c>
      <c r="H14" s="16">
        <f>G14+$B$17/4</f>
        <v>22.5</v>
      </c>
      <c r="I14" s="75" t="s">
        <v>163</v>
      </c>
    </row>
    <row r="15" spans="1:10" ht="34.9" customHeight="1">
      <c r="A15" s="70"/>
      <c r="B15" s="15"/>
      <c r="C15" s="8" t="s">
        <v>16</v>
      </c>
      <c r="D15" s="16">
        <f>D14-$B$17/4</f>
        <v>-15</v>
      </c>
      <c r="E15" s="17">
        <f>E14-$B$17/4</f>
        <v>-7.5</v>
      </c>
      <c r="F15" s="16">
        <f>D13</f>
        <v>0</v>
      </c>
      <c r="G15" s="16">
        <f>F15+$B$17/4</f>
        <v>7.5</v>
      </c>
      <c r="H15" s="18">
        <f>G15+$B$17/4</f>
        <v>15</v>
      </c>
      <c r="I15" s="76"/>
    </row>
    <row r="16" spans="1:10" ht="33" customHeight="1">
      <c r="A16" s="70"/>
      <c r="B16" s="15"/>
      <c r="C16" s="8" t="s">
        <v>17</v>
      </c>
      <c r="D16" s="16">
        <f>D15-$B$17/4</f>
        <v>-22.5</v>
      </c>
      <c r="E16" s="17">
        <f>E15-$B$17/4</f>
        <v>-15</v>
      </c>
      <c r="F16" s="16">
        <f>F15-$B$17/4</f>
        <v>-7.5</v>
      </c>
      <c r="G16" s="16">
        <f>D13</f>
        <v>0</v>
      </c>
      <c r="H16" s="18">
        <f>G16+$B$17/4</f>
        <v>7.5</v>
      </c>
      <c r="I16" s="19" t="s">
        <v>19</v>
      </c>
    </row>
    <row r="17" spans="1:9" ht="36.6" customHeight="1" thickBot="1">
      <c r="A17" s="70"/>
      <c r="B17" s="20">
        <v>30</v>
      </c>
      <c r="C17" s="21" t="s">
        <v>9</v>
      </c>
      <c r="D17" s="16">
        <f>D16-$B$17/4</f>
        <v>-30</v>
      </c>
      <c r="E17" s="17">
        <f>E16-$B$17/4</f>
        <v>-22.5</v>
      </c>
      <c r="F17" s="16">
        <f>F16-$B$17/4</f>
        <v>-15</v>
      </c>
      <c r="G17" s="17">
        <f>G16-$B$17/4</f>
        <v>-7.5</v>
      </c>
      <c r="H17" s="18">
        <v>0</v>
      </c>
      <c r="I17" s="22" t="s">
        <v>164</v>
      </c>
    </row>
    <row r="18" spans="1:9" ht="17.25" customHeight="1">
      <c r="A18" s="70"/>
      <c r="B18" s="13" t="s">
        <v>20</v>
      </c>
      <c r="C18" s="3" t="s">
        <v>7</v>
      </c>
      <c r="D18" s="71" t="s">
        <v>8</v>
      </c>
      <c r="E18" s="71" t="s">
        <v>15</v>
      </c>
      <c r="F18" s="71" t="s">
        <v>16</v>
      </c>
      <c r="G18" s="71" t="s">
        <v>17</v>
      </c>
      <c r="H18" s="77" t="s">
        <v>9</v>
      </c>
      <c r="I18" s="23" t="s">
        <v>166</v>
      </c>
    </row>
    <row r="19" spans="1:9" ht="17.25" customHeight="1">
      <c r="A19" s="70"/>
      <c r="B19" s="15" t="s">
        <v>21</v>
      </c>
      <c r="C19" s="6" t="s">
        <v>11</v>
      </c>
      <c r="D19" s="72"/>
      <c r="E19" s="72"/>
      <c r="F19" s="72"/>
      <c r="G19" s="72"/>
      <c r="H19" s="78"/>
      <c r="I19" s="24" t="s">
        <v>167</v>
      </c>
    </row>
    <row r="20" spans="1:9" ht="17.25" customHeight="1">
      <c r="A20" s="70"/>
      <c r="B20" s="15" t="s">
        <v>22</v>
      </c>
      <c r="C20" s="8" t="s">
        <v>8</v>
      </c>
      <c r="D20" s="16">
        <v>0</v>
      </c>
      <c r="E20" s="16">
        <f t="shared" ref="E20:G22" si="0">D20+$B$24/4</f>
        <v>2.5</v>
      </c>
      <c r="F20" s="16">
        <f t="shared" si="0"/>
        <v>5</v>
      </c>
      <c r="G20" s="16">
        <f t="shared" si="0"/>
        <v>7.5</v>
      </c>
      <c r="H20" s="18">
        <f>G20+$B$24/4</f>
        <v>10</v>
      </c>
      <c r="I20" s="24" t="s">
        <v>168</v>
      </c>
    </row>
    <row r="21" spans="1:9" ht="17.25" customHeight="1">
      <c r="A21" s="70"/>
      <c r="B21" s="15"/>
      <c r="C21" s="8" t="s">
        <v>15</v>
      </c>
      <c r="D21" s="16">
        <f t="shared" ref="D21:F23" si="1">D20-$B$24/4</f>
        <v>-2.5</v>
      </c>
      <c r="E21" s="16">
        <f>D20</f>
        <v>0</v>
      </c>
      <c r="F21" s="16">
        <f t="shared" si="0"/>
        <v>2.5</v>
      </c>
      <c r="G21" s="16">
        <f t="shared" si="0"/>
        <v>5</v>
      </c>
      <c r="H21" s="18">
        <f>G21+$B$24/4</f>
        <v>7.5</v>
      </c>
      <c r="I21" s="24" t="s">
        <v>169</v>
      </c>
    </row>
    <row r="22" spans="1:9" ht="17.25" customHeight="1">
      <c r="A22" s="70"/>
      <c r="B22" s="15"/>
      <c r="C22" s="8" t="s">
        <v>16</v>
      </c>
      <c r="D22" s="16">
        <f t="shared" si="1"/>
        <v>-5</v>
      </c>
      <c r="E22" s="16">
        <f t="shared" si="1"/>
        <v>-2.5</v>
      </c>
      <c r="F22" s="16">
        <f>D20</f>
        <v>0</v>
      </c>
      <c r="G22" s="16">
        <f t="shared" si="0"/>
        <v>2.5</v>
      </c>
      <c r="H22" s="18">
        <f>G22+$B$24/4</f>
        <v>5</v>
      </c>
      <c r="I22" s="24" t="s">
        <v>170</v>
      </c>
    </row>
    <row r="23" spans="1:9" ht="17.25" customHeight="1">
      <c r="A23" s="70"/>
      <c r="B23" s="15"/>
      <c r="C23" s="8" t="s">
        <v>17</v>
      </c>
      <c r="D23" s="16">
        <f t="shared" si="1"/>
        <v>-7.5</v>
      </c>
      <c r="E23" s="16">
        <f t="shared" si="1"/>
        <v>-5</v>
      </c>
      <c r="F23" s="16">
        <f t="shared" si="1"/>
        <v>-2.5</v>
      </c>
      <c r="G23" s="16">
        <f>D20</f>
        <v>0</v>
      </c>
      <c r="H23" s="18">
        <f>G23+$B$24/4</f>
        <v>2.5</v>
      </c>
      <c r="I23" s="24"/>
    </row>
    <row r="24" spans="1:9" ht="17.25" customHeight="1" thickBot="1">
      <c r="A24" s="70"/>
      <c r="B24" s="20">
        <v>10</v>
      </c>
      <c r="C24" s="21" t="s">
        <v>9</v>
      </c>
      <c r="D24" s="17">
        <f>D23-$B$24/4</f>
        <v>-10</v>
      </c>
      <c r="E24" s="17">
        <f>E23-$B$24/4</f>
        <v>-7.5</v>
      </c>
      <c r="F24" s="17">
        <f>F23-$B$24/4</f>
        <v>-5</v>
      </c>
      <c r="G24" s="17">
        <f>G23-$B$24/4</f>
        <v>-2.5</v>
      </c>
      <c r="H24" s="52">
        <f>D20</f>
        <v>0</v>
      </c>
      <c r="I24" s="26"/>
    </row>
    <row r="25" spans="1:9" ht="17.25" customHeight="1">
      <c r="A25" s="70"/>
      <c r="B25" s="13" t="s">
        <v>23</v>
      </c>
      <c r="C25" s="3" t="s">
        <v>7</v>
      </c>
      <c r="D25" s="71" t="s">
        <v>24</v>
      </c>
      <c r="E25" s="71" t="s">
        <v>15</v>
      </c>
      <c r="F25" s="71" t="s">
        <v>16</v>
      </c>
      <c r="G25" s="71" t="s">
        <v>17</v>
      </c>
      <c r="H25" s="77" t="s">
        <v>9</v>
      </c>
      <c r="I25" s="23" t="s">
        <v>171</v>
      </c>
    </row>
    <row r="26" spans="1:9" ht="17.25" customHeight="1">
      <c r="A26" s="70"/>
      <c r="B26" s="15" t="s">
        <v>25</v>
      </c>
      <c r="C26" s="6" t="s">
        <v>11</v>
      </c>
      <c r="D26" s="72"/>
      <c r="E26" s="72"/>
      <c r="F26" s="72"/>
      <c r="G26" s="72"/>
      <c r="H26" s="78"/>
      <c r="I26" s="24" t="s">
        <v>172</v>
      </c>
    </row>
    <row r="27" spans="1:9" ht="17.25" customHeight="1">
      <c r="A27" s="70"/>
      <c r="B27" s="15" t="s">
        <v>22</v>
      </c>
      <c r="C27" s="8" t="s">
        <v>8</v>
      </c>
      <c r="D27" s="16">
        <v>0</v>
      </c>
      <c r="E27" s="16">
        <f t="shared" ref="E27:G29" si="2">D27+$B$31/4</f>
        <v>12.5</v>
      </c>
      <c r="F27" s="16">
        <f t="shared" si="2"/>
        <v>25</v>
      </c>
      <c r="G27" s="16">
        <f t="shared" si="2"/>
        <v>37.5</v>
      </c>
      <c r="H27" s="18">
        <f>G27+$B$31/4</f>
        <v>50</v>
      </c>
      <c r="I27" s="24" t="s">
        <v>173</v>
      </c>
    </row>
    <row r="28" spans="1:9" ht="17.25" customHeight="1">
      <c r="A28" s="70"/>
      <c r="B28" s="15"/>
      <c r="C28" s="8" t="s">
        <v>15</v>
      </c>
      <c r="D28" s="16">
        <f>D27-$B$31/4</f>
        <v>-12.5</v>
      </c>
      <c r="E28" s="16">
        <f>D27</f>
        <v>0</v>
      </c>
      <c r="F28" s="16">
        <f t="shared" si="2"/>
        <v>12.5</v>
      </c>
      <c r="G28" s="16">
        <f t="shared" si="2"/>
        <v>25</v>
      </c>
      <c r="H28" s="18">
        <f>G28+$B$31/4</f>
        <v>37.5</v>
      </c>
      <c r="I28" s="24" t="s">
        <v>174</v>
      </c>
    </row>
    <row r="29" spans="1:9" ht="17.25" customHeight="1">
      <c r="A29" s="70"/>
      <c r="B29" s="15"/>
      <c r="C29" s="8" t="s">
        <v>16</v>
      </c>
      <c r="D29" s="16">
        <f>D28-$B$31/4</f>
        <v>-25</v>
      </c>
      <c r="E29" s="16">
        <f>E28-$B$31/4</f>
        <v>-12.5</v>
      </c>
      <c r="F29" s="16">
        <f>D27</f>
        <v>0</v>
      </c>
      <c r="G29" s="16">
        <f t="shared" si="2"/>
        <v>12.5</v>
      </c>
      <c r="H29" s="18">
        <f>G29+$B$31/4</f>
        <v>25</v>
      </c>
      <c r="I29" s="24" t="s">
        <v>175</v>
      </c>
    </row>
    <row r="30" spans="1:9" ht="17.25" customHeight="1">
      <c r="A30" s="70"/>
      <c r="B30" s="15"/>
      <c r="C30" s="8" t="s">
        <v>17</v>
      </c>
      <c r="D30" s="16">
        <f>D29-$B$31/4</f>
        <v>-37.5</v>
      </c>
      <c r="E30" s="16">
        <f>E29-$B$31/4</f>
        <v>-25</v>
      </c>
      <c r="F30" s="16">
        <f>F29-$B$31/4</f>
        <v>-12.5</v>
      </c>
      <c r="G30" s="16">
        <f>D27</f>
        <v>0</v>
      </c>
      <c r="H30" s="18">
        <f>G30+$B$31/4</f>
        <v>12.5</v>
      </c>
      <c r="I30" s="24"/>
    </row>
    <row r="31" spans="1:9" ht="17.25" customHeight="1" thickBot="1">
      <c r="A31" s="70"/>
      <c r="B31" s="20">
        <v>50</v>
      </c>
      <c r="C31" s="11" t="s">
        <v>9</v>
      </c>
      <c r="D31" s="35">
        <f>D30-$B$31/4</f>
        <v>-50</v>
      </c>
      <c r="E31" s="35">
        <f>E30-$B$31/4</f>
        <v>-37.5</v>
      </c>
      <c r="F31" s="35">
        <f>F30-$B$31/4</f>
        <v>-25</v>
      </c>
      <c r="G31" s="35">
        <f>G30-$B$31/4</f>
        <v>-12.5</v>
      </c>
      <c r="H31" s="36">
        <f>D27</f>
        <v>0</v>
      </c>
      <c r="I31" s="26"/>
    </row>
    <row r="32" spans="1:9" ht="17.25" customHeight="1">
      <c r="A32" s="79" t="s">
        <v>26</v>
      </c>
      <c r="B32" s="13" t="s">
        <v>27</v>
      </c>
      <c r="C32" s="3" t="s">
        <v>7</v>
      </c>
      <c r="D32" s="71" t="s">
        <v>8</v>
      </c>
      <c r="E32" s="71" t="s">
        <v>15</v>
      </c>
      <c r="F32" s="71" t="s">
        <v>16</v>
      </c>
      <c r="G32" s="71" t="s">
        <v>17</v>
      </c>
      <c r="H32" s="77" t="s">
        <v>9</v>
      </c>
      <c r="I32" s="75" t="s">
        <v>179</v>
      </c>
    </row>
    <row r="33" spans="1:9" ht="17.25" customHeight="1">
      <c r="A33" s="80"/>
      <c r="B33" s="15" t="s">
        <v>28</v>
      </c>
      <c r="C33" s="6" t="s">
        <v>11</v>
      </c>
      <c r="D33" s="72"/>
      <c r="E33" s="72"/>
      <c r="F33" s="72"/>
      <c r="G33" s="72"/>
      <c r="H33" s="78"/>
      <c r="I33" s="76"/>
    </row>
    <row r="34" spans="1:9" ht="17.25" customHeight="1">
      <c r="A34" s="80"/>
      <c r="B34" s="29" t="s">
        <v>29</v>
      </c>
      <c r="C34" s="8" t="s">
        <v>8</v>
      </c>
      <c r="D34" s="30">
        <v>0</v>
      </c>
      <c r="E34" s="30">
        <f t="shared" ref="E34:G36" si="3">D34+$B$38/4</f>
        <v>6.25</v>
      </c>
      <c r="F34" s="30">
        <f t="shared" si="3"/>
        <v>12.5</v>
      </c>
      <c r="G34" s="31">
        <f t="shared" si="3"/>
        <v>18.75</v>
      </c>
      <c r="H34" s="31">
        <f>G34+$B$38/4</f>
        <v>25</v>
      </c>
      <c r="I34" s="7" t="s">
        <v>30</v>
      </c>
    </row>
    <row r="35" spans="1:9" ht="17.25" customHeight="1">
      <c r="A35" s="80"/>
      <c r="B35" s="15" t="s">
        <v>31</v>
      </c>
      <c r="C35" s="8" t="s">
        <v>15</v>
      </c>
      <c r="D35" s="30">
        <f>D34-$B$38/4</f>
        <v>-6.25</v>
      </c>
      <c r="E35" s="30">
        <v>0</v>
      </c>
      <c r="F35" s="30">
        <f t="shared" si="3"/>
        <v>6.25</v>
      </c>
      <c r="G35" s="31">
        <f t="shared" si="3"/>
        <v>12.5</v>
      </c>
      <c r="H35" s="31">
        <f>G35+$B$38/4</f>
        <v>18.75</v>
      </c>
      <c r="I35" s="7" t="s">
        <v>32</v>
      </c>
    </row>
    <row r="36" spans="1:9" ht="17.25" customHeight="1">
      <c r="A36" s="80"/>
      <c r="B36" s="29" t="s">
        <v>33</v>
      </c>
      <c r="C36" s="8" t="s">
        <v>16</v>
      </c>
      <c r="D36" s="31">
        <f>D35-$B$38/4</f>
        <v>-12.5</v>
      </c>
      <c r="E36" s="31">
        <f t="shared" ref="E36:G38" si="4">E35-$B$38/4</f>
        <v>-6.25</v>
      </c>
      <c r="F36" s="30">
        <v>0</v>
      </c>
      <c r="G36" s="31">
        <f t="shared" si="3"/>
        <v>6.25</v>
      </c>
      <c r="H36" s="31">
        <f>G36+$B$38/4</f>
        <v>12.5</v>
      </c>
      <c r="I36" s="7" t="s">
        <v>34</v>
      </c>
    </row>
    <row r="37" spans="1:9" ht="17.25" customHeight="1">
      <c r="A37" s="80"/>
      <c r="B37" s="15" t="s">
        <v>35</v>
      </c>
      <c r="C37" s="8" t="s">
        <v>17</v>
      </c>
      <c r="D37" s="31">
        <f>D36-$B$38/4</f>
        <v>-18.75</v>
      </c>
      <c r="E37" s="31">
        <f t="shared" si="4"/>
        <v>-12.5</v>
      </c>
      <c r="F37" s="30">
        <f t="shared" si="4"/>
        <v>-6.25</v>
      </c>
      <c r="G37" s="30">
        <v>0</v>
      </c>
      <c r="H37" s="30">
        <f>G37+$B$38/4</f>
        <v>6.25</v>
      </c>
      <c r="I37" s="7" t="s">
        <v>36</v>
      </c>
    </row>
    <row r="38" spans="1:9" ht="17.25" customHeight="1" thickBot="1">
      <c r="A38" s="80"/>
      <c r="B38" s="20">
        <v>25</v>
      </c>
      <c r="C38" s="11" t="s">
        <v>9</v>
      </c>
      <c r="D38" s="32">
        <f>D37-$B$38/4</f>
        <v>-25</v>
      </c>
      <c r="E38" s="32">
        <f t="shared" si="4"/>
        <v>-18.75</v>
      </c>
      <c r="F38" s="33">
        <f t="shared" si="4"/>
        <v>-12.5</v>
      </c>
      <c r="G38" s="33">
        <f t="shared" si="4"/>
        <v>-6.25</v>
      </c>
      <c r="H38" s="33">
        <v>0</v>
      </c>
      <c r="I38" s="19" t="s">
        <v>37</v>
      </c>
    </row>
    <row r="39" spans="1:9" ht="17.25" customHeight="1">
      <c r="A39" s="80"/>
      <c r="B39" s="13" t="s">
        <v>38</v>
      </c>
      <c r="C39" s="3" t="s">
        <v>7</v>
      </c>
      <c r="D39" s="71" t="s">
        <v>8</v>
      </c>
      <c r="E39" s="71" t="s">
        <v>15</v>
      </c>
      <c r="F39" s="71" t="s">
        <v>16</v>
      </c>
      <c r="G39" s="71" t="s">
        <v>17</v>
      </c>
      <c r="H39" s="77" t="s">
        <v>9</v>
      </c>
      <c r="I39" s="82" t="s">
        <v>180</v>
      </c>
    </row>
    <row r="40" spans="1:9" ht="17.25" customHeight="1">
      <c r="A40" s="80"/>
      <c r="B40" s="15" t="s">
        <v>39</v>
      </c>
      <c r="C40" s="6" t="s">
        <v>11</v>
      </c>
      <c r="D40" s="72"/>
      <c r="E40" s="72"/>
      <c r="F40" s="72"/>
      <c r="G40" s="72"/>
      <c r="H40" s="78"/>
      <c r="I40" s="76"/>
    </row>
    <row r="41" spans="1:9" ht="17.25" customHeight="1">
      <c r="A41" s="80"/>
      <c r="B41" s="29" t="s">
        <v>40</v>
      </c>
      <c r="C41" s="8" t="s">
        <v>8</v>
      </c>
      <c r="D41" s="9">
        <v>0</v>
      </c>
      <c r="E41" s="9">
        <f>D41+$B$45/4</f>
        <v>5</v>
      </c>
      <c r="F41" s="9">
        <f>E41+$B$45/4</f>
        <v>10</v>
      </c>
      <c r="G41" s="9">
        <f>F41+$B$45/4</f>
        <v>15</v>
      </c>
      <c r="H41" s="9">
        <f>G41+$B$45/4</f>
        <v>20</v>
      </c>
      <c r="I41" s="7" t="s">
        <v>41</v>
      </c>
    </row>
    <row r="42" spans="1:9" ht="17.25" customHeight="1">
      <c r="A42" s="80"/>
      <c r="B42" s="15" t="s">
        <v>42</v>
      </c>
      <c r="C42" s="8" t="s">
        <v>15</v>
      </c>
      <c r="D42" s="9">
        <f>D41-$B$45/4</f>
        <v>-5</v>
      </c>
      <c r="E42" s="9">
        <v>0</v>
      </c>
      <c r="F42" s="9">
        <f>E42+$B$45/4</f>
        <v>5</v>
      </c>
      <c r="G42" s="9">
        <f>F42+$B$45/4</f>
        <v>10</v>
      </c>
      <c r="H42" s="9">
        <f>G42+$B$45/4</f>
        <v>15</v>
      </c>
      <c r="I42" s="7" t="s">
        <v>43</v>
      </c>
    </row>
    <row r="43" spans="1:9" ht="17.25" customHeight="1">
      <c r="A43" s="80"/>
      <c r="C43" s="8" t="s">
        <v>16</v>
      </c>
      <c r="D43" s="9">
        <f>D42-$B$45/4</f>
        <v>-10</v>
      </c>
      <c r="E43" s="9">
        <f t="shared" ref="E43:G45" si="5">E42-$B$45/4</f>
        <v>-5</v>
      </c>
      <c r="F43" s="9">
        <v>0</v>
      </c>
      <c r="G43" s="9">
        <f>F43+$B$45/4</f>
        <v>5</v>
      </c>
      <c r="H43" s="9">
        <f>G43+$B$45/4</f>
        <v>10</v>
      </c>
      <c r="I43" s="7" t="s">
        <v>44</v>
      </c>
    </row>
    <row r="44" spans="1:9" ht="17.25" customHeight="1">
      <c r="A44" s="80"/>
      <c r="B44" s="15"/>
      <c r="C44" s="8" t="s">
        <v>17</v>
      </c>
      <c r="D44" s="9">
        <f>D43-$B$45/4</f>
        <v>-15</v>
      </c>
      <c r="E44" s="9">
        <f t="shared" si="5"/>
        <v>-10</v>
      </c>
      <c r="F44" s="9">
        <f t="shared" si="5"/>
        <v>-5</v>
      </c>
      <c r="G44" s="9">
        <v>0</v>
      </c>
      <c r="H44" s="9">
        <f>G44+$B$45/4</f>
        <v>5</v>
      </c>
      <c r="I44" s="7" t="s">
        <v>45</v>
      </c>
    </row>
    <row r="45" spans="1:9" ht="17.25" customHeight="1" thickBot="1">
      <c r="A45" s="80"/>
      <c r="B45" s="20">
        <v>20</v>
      </c>
      <c r="C45" s="11" t="s">
        <v>9</v>
      </c>
      <c r="D45" s="9">
        <f>D44-$B$45/4</f>
        <v>-20</v>
      </c>
      <c r="E45" s="9">
        <f t="shared" si="5"/>
        <v>-15</v>
      </c>
      <c r="F45" s="9">
        <f t="shared" si="5"/>
        <v>-10</v>
      </c>
      <c r="G45" s="9">
        <f t="shared" si="5"/>
        <v>-5</v>
      </c>
      <c r="H45" s="9">
        <v>0</v>
      </c>
      <c r="I45" s="19" t="s">
        <v>46</v>
      </c>
    </row>
    <row r="46" spans="1:9" ht="17.25" customHeight="1">
      <c r="A46" s="80"/>
      <c r="B46" s="13" t="s">
        <v>47</v>
      </c>
      <c r="C46" s="3" t="s">
        <v>7</v>
      </c>
      <c r="D46" s="71" t="s">
        <v>8</v>
      </c>
      <c r="E46" s="71" t="s">
        <v>15</v>
      </c>
      <c r="F46" s="71" t="s">
        <v>16</v>
      </c>
      <c r="G46" s="71" t="s">
        <v>17</v>
      </c>
      <c r="H46" s="77" t="s">
        <v>9</v>
      </c>
      <c r="I46" s="82" t="s">
        <v>48</v>
      </c>
    </row>
    <row r="47" spans="1:9" ht="17.25" customHeight="1">
      <c r="A47" s="80"/>
      <c r="B47" s="15" t="s">
        <v>49</v>
      </c>
      <c r="C47" s="6" t="s">
        <v>11</v>
      </c>
      <c r="D47" s="72"/>
      <c r="E47" s="72"/>
      <c r="F47" s="72"/>
      <c r="G47" s="72"/>
      <c r="H47" s="78"/>
      <c r="I47" s="76"/>
    </row>
    <row r="48" spans="1:9" ht="17.25" customHeight="1">
      <c r="A48" s="80"/>
      <c r="B48" s="15" t="s">
        <v>51</v>
      </c>
      <c r="C48" s="8" t="s">
        <v>8</v>
      </c>
      <c r="D48" s="9">
        <v>0</v>
      </c>
      <c r="E48" s="9">
        <f t="shared" ref="E48:G49" si="6">D48+$B$52/4</f>
        <v>5</v>
      </c>
      <c r="F48" s="9">
        <f t="shared" si="6"/>
        <v>10</v>
      </c>
      <c r="G48" s="9">
        <f t="shared" si="6"/>
        <v>15</v>
      </c>
      <c r="H48" s="9">
        <f>G48+$B$52/4</f>
        <v>20</v>
      </c>
      <c r="I48" s="7" t="s">
        <v>52</v>
      </c>
    </row>
    <row r="49" spans="1:9" ht="17.25" customHeight="1">
      <c r="A49" s="80"/>
      <c r="B49" s="15"/>
      <c r="C49" s="8" t="s">
        <v>15</v>
      </c>
      <c r="D49" s="9">
        <f>D48-$B$52/4</f>
        <v>-5</v>
      </c>
      <c r="E49" s="9">
        <v>0</v>
      </c>
      <c r="F49" s="9">
        <f t="shared" si="6"/>
        <v>5</v>
      </c>
      <c r="G49" s="9">
        <f>F49+$B$52/4</f>
        <v>10</v>
      </c>
      <c r="H49" s="9">
        <f>G49+$B$52/4</f>
        <v>15</v>
      </c>
      <c r="I49" s="7" t="s">
        <v>53</v>
      </c>
    </row>
    <row r="50" spans="1:9" ht="17.25" customHeight="1">
      <c r="A50" s="80"/>
      <c r="B50" s="15"/>
      <c r="C50" s="8" t="s">
        <v>16</v>
      </c>
      <c r="D50" s="9">
        <f>D49-$B$52/4</f>
        <v>-10</v>
      </c>
      <c r="E50" s="9">
        <f t="shared" ref="E50:G52" si="7">E49-$B$52/4</f>
        <v>-5</v>
      </c>
      <c r="F50" s="9">
        <v>0</v>
      </c>
      <c r="G50" s="9">
        <f>F50+$B$52/4</f>
        <v>5</v>
      </c>
      <c r="H50" s="9">
        <f>G50+$B$52/4</f>
        <v>10</v>
      </c>
      <c r="I50" s="7" t="s">
        <v>54</v>
      </c>
    </row>
    <row r="51" spans="1:9" ht="17.25" customHeight="1">
      <c r="A51" s="80"/>
      <c r="B51" s="15"/>
      <c r="C51" s="8" t="s">
        <v>17</v>
      </c>
      <c r="D51" s="9">
        <f>D50-$B$52/4</f>
        <v>-15</v>
      </c>
      <c r="E51" s="9">
        <f t="shared" si="7"/>
        <v>-10</v>
      </c>
      <c r="F51" s="9">
        <f t="shared" si="7"/>
        <v>-5</v>
      </c>
      <c r="G51" s="9">
        <f t="shared" si="7"/>
        <v>0</v>
      </c>
      <c r="H51" s="9">
        <f>G51+$B$52/4</f>
        <v>5</v>
      </c>
      <c r="I51" s="7" t="s">
        <v>55</v>
      </c>
    </row>
    <row r="52" spans="1:9" ht="17.25" customHeight="1" thickBot="1">
      <c r="A52" s="81"/>
      <c r="B52" s="20">
        <v>20</v>
      </c>
      <c r="C52" s="11" t="s">
        <v>9</v>
      </c>
      <c r="D52" s="9">
        <f>D51-$B$52/4</f>
        <v>-20</v>
      </c>
      <c r="E52" s="9">
        <f t="shared" si="7"/>
        <v>-15</v>
      </c>
      <c r="F52" s="9">
        <f t="shared" si="7"/>
        <v>-10</v>
      </c>
      <c r="G52" s="9">
        <f t="shared" si="7"/>
        <v>-5</v>
      </c>
      <c r="H52" s="9">
        <v>0</v>
      </c>
      <c r="I52" s="22" t="s">
        <v>56</v>
      </c>
    </row>
    <row r="53" spans="1:9" ht="17.25" customHeight="1">
      <c r="A53" s="79" t="s">
        <v>26</v>
      </c>
      <c r="B53" s="13" t="s">
        <v>57</v>
      </c>
      <c r="C53" s="3" t="s">
        <v>7</v>
      </c>
      <c r="D53" s="71" t="s">
        <v>8</v>
      </c>
      <c r="E53" s="71" t="s">
        <v>15</v>
      </c>
      <c r="F53" s="71" t="s">
        <v>16</v>
      </c>
      <c r="G53" s="71" t="s">
        <v>17</v>
      </c>
      <c r="H53" s="77" t="s">
        <v>9</v>
      </c>
      <c r="I53" s="82" t="s">
        <v>58</v>
      </c>
    </row>
    <row r="54" spans="1:9" ht="17.25" customHeight="1">
      <c r="A54" s="80"/>
      <c r="B54" s="15" t="s">
        <v>181</v>
      </c>
      <c r="C54" s="6" t="s">
        <v>11</v>
      </c>
      <c r="D54" s="72"/>
      <c r="E54" s="72"/>
      <c r="F54" s="72"/>
      <c r="G54" s="72"/>
      <c r="H54" s="78"/>
      <c r="I54" s="76"/>
    </row>
    <row r="55" spans="1:9" ht="17.25" customHeight="1">
      <c r="A55" s="80"/>
      <c r="B55" s="15" t="s">
        <v>70</v>
      </c>
      <c r="C55" s="8" t="s">
        <v>8</v>
      </c>
      <c r="D55" s="30">
        <v>0</v>
      </c>
      <c r="E55" s="30">
        <f t="shared" ref="E55:G56" si="8">D55+$B$59/4</f>
        <v>3.75</v>
      </c>
      <c r="F55" s="30">
        <f t="shared" si="8"/>
        <v>7.5</v>
      </c>
      <c r="G55" s="30">
        <f t="shared" si="8"/>
        <v>11.25</v>
      </c>
      <c r="H55" s="30">
        <f>G55+$B$59/4</f>
        <v>15</v>
      </c>
      <c r="I55" s="7" t="s">
        <v>59</v>
      </c>
    </row>
    <row r="56" spans="1:9" ht="17.25" customHeight="1">
      <c r="A56" s="80"/>
      <c r="B56" s="15" t="s">
        <v>60</v>
      </c>
      <c r="C56" s="8" t="s">
        <v>15</v>
      </c>
      <c r="D56" s="30">
        <f>D55-$B$59/4</f>
        <v>-3.75</v>
      </c>
      <c r="E56" s="30">
        <v>0</v>
      </c>
      <c r="F56" s="30">
        <f t="shared" si="8"/>
        <v>3.75</v>
      </c>
      <c r="G56" s="30">
        <f>F56+$B$59/4</f>
        <v>7.5</v>
      </c>
      <c r="H56" s="30">
        <f>G56+$B$59/4</f>
        <v>11.25</v>
      </c>
      <c r="I56" s="7" t="s">
        <v>61</v>
      </c>
    </row>
    <row r="57" spans="1:9" ht="17.25" customHeight="1">
      <c r="A57" s="80"/>
      <c r="B57" s="29" t="s">
        <v>62</v>
      </c>
      <c r="C57" s="8" t="s">
        <v>16</v>
      </c>
      <c r="D57" s="30">
        <f>D56-$B$59/4</f>
        <v>-7.5</v>
      </c>
      <c r="E57" s="30">
        <f t="shared" ref="E57:G59" si="9">E56-$B$59/4</f>
        <v>-3.75</v>
      </c>
      <c r="F57" s="30">
        <v>0</v>
      </c>
      <c r="G57" s="30">
        <f>F57+$B$59/4</f>
        <v>3.75</v>
      </c>
      <c r="H57" s="30">
        <f>G57+$B$59/4</f>
        <v>7.5</v>
      </c>
      <c r="I57" s="7" t="s">
        <v>63</v>
      </c>
    </row>
    <row r="58" spans="1:9" ht="17.25" customHeight="1">
      <c r="A58" s="80"/>
      <c r="B58" s="15"/>
      <c r="C58" s="8" t="s">
        <v>17</v>
      </c>
      <c r="D58" s="30">
        <f>D57-$B$59/4</f>
        <v>-11.25</v>
      </c>
      <c r="E58" s="30">
        <f t="shared" si="9"/>
        <v>-7.5</v>
      </c>
      <c r="F58" s="30">
        <f t="shared" si="9"/>
        <v>-3.75</v>
      </c>
      <c r="G58" s="30">
        <v>0</v>
      </c>
      <c r="H58" s="30">
        <f>G58+$B$59/4</f>
        <v>3.75</v>
      </c>
      <c r="I58" s="7" t="s">
        <v>64</v>
      </c>
    </row>
    <row r="59" spans="1:9" ht="17.25" customHeight="1" thickBot="1">
      <c r="A59" s="80"/>
      <c r="B59" s="20">
        <v>15</v>
      </c>
      <c r="C59" s="11" t="s">
        <v>9</v>
      </c>
      <c r="D59" s="30">
        <f>D58-$B$59/4</f>
        <v>-15</v>
      </c>
      <c r="E59" s="30">
        <f t="shared" si="9"/>
        <v>-11.25</v>
      </c>
      <c r="F59" s="30">
        <f t="shared" si="9"/>
        <v>-7.5</v>
      </c>
      <c r="G59" s="30">
        <f t="shared" si="9"/>
        <v>-3.75</v>
      </c>
      <c r="H59" s="30">
        <v>0</v>
      </c>
      <c r="I59" s="22" t="s">
        <v>65</v>
      </c>
    </row>
    <row r="60" spans="1:9" ht="17.25" customHeight="1">
      <c r="A60" s="80"/>
      <c r="B60" s="13" t="s">
        <v>66</v>
      </c>
      <c r="C60" s="3" t="s">
        <v>7</v>
      </c>
      <c r="D60" s="71" t="s">
        <v>8</v>
      </c>
      <c r="E60" s="71" t="s">
        <v>15</v>
      </c>
      <c r="F60" s="71" t="s">
        <v>16</v>
      </c>
      <c r="G60" s="71" t="s">
        <v>17</v>
      </c>
      <c r="H60" s="77" t="s">
        <v>9</v>
      </c>
      <c r="I60" s="82" t="s">
        <v>67</v>
      </c>
    </row>
    <row r="61" spans="1:9" ht="17.25" customHeight="1">
      <c r="A61" s="80"/>
      <c r="B61" s="15" t="s">
        <v>68</v>
      </c>
      <c r="C61" s="6" t="s">
        <v>11</v>
      </c>
      <c r="D61" s="72"/>
      <c r="E61" s="72"/>
      <c r="F61" s="72"/>
      <c r="G61" s="72"/>
      <c r="H61" s="78"/>
      <c r="I61" s="75"/>
    </row>
    <row r="62" spans="1:9" ht="17.25" customHeight="1">
      <c r="A62" s="80"/>
      <c r="B62" s="15" t="s">
        <v>69</v>
      </c>
      <c r="C62" s="8" t="s">
        <v>8</v>
      </c>
      <c r="D62" s="9">
        <v>0</v>
      </c>
      <c r="E62" s="9">
        <f t="shared" ref="E62:G63" si="10">D62+$B$66/4</f>
        <v>5</v>
      </c>
      <c r="F62" s="9">
        <f t="shared" si="10"/>
        <v>10</v>
      </c>
      <c r="G62" s="9">
        <f t="shared" si="10"/>
        <v>15</v>
      </c>
      <c r="H62" s="9">
        <f>G62+$B$66/4</f>
        <v>20</v>
      </c>
      <c r="I62" s="7" t="s">
        <v>52</v>
      </c>
    </row>
    <row r="63" spans="1:9" ht="17.25" customHeight="1">
      <c r="A63" s="80"/>
      <c r="B63" s="15" t="s">
        <v>47</v>
      </c>
      <c r="C63" s="8" t="s">
        <v>15</v>
      </c>
      <c r="D63" s="9">
        <f t="shared" ref="D63:F65" si="11">D62-$B$66/4</f>
        <v>-5</v>
      </c>
      <c r="E63" s="9">
        <v>0</v>
      </c>
      <c r="F63" s="9">
        <f t="shared" si="10"/>
        <v>5</v>
      </c>
      <c r="G63" s="9">
        <f>F63+$B$66/4</f>
        <v>10</v>
      </c>
      <c r="H63" s="9">
        <f>G63+$B$66/4</f>
        <v>15</v>
      </c>
      <c r="I63" s="7" t="s">
        <v>53</v>
      </c>
    </row>
    <row r="64" spans="1:9" ht="17.25" customHeight="1">
      <c r="A64" s="80"/>
      <c r="B64" s="15" t="s">
        <v>66</v>
      </c>
      <c r="C64" s="8" t="s">
        <v>16</v>
      </c>
      <c r="D64" s="9">
        <f t="shared" si="11"/>
        <v>-10</v>
      </c>
      <c r="E64" s="9">
        <f t="shared" si="11"/>
        <v>-5</v>
      </c>
      <c r="F64" s="9">
        <v>0</v>
      </c>
      <c r="G64" s="9">
        <f>F64+$B$66/4</f>
        <v>5</v>
      </c>
      <c r="H64" s="9">
        <f>G64+$B$66/4</f>
        <v>10</v>
      </c>
      <c r="I64" s="7" t="s">
        <v>54</v>
      </c>
    </row>
    <row r="65" spans="1:9" ht="17.25" customHeight="1">
      <c r="A65" s="80"/>
      <c r="B65" s="15" t="s">
        <v>50</v>
      </c>
      <c r="C65" s="8" t="s">
        <v>17</v>
      </c>
      <c r="D65" s="9">
        <f t="shared" si="11"/>
        <v>-15</v>
      </c>
      <c r="E65" s="9">
        <f t="shared" si="11"/>
        <v>-10</v>
      </c>
      <c r="F65" s="9">
        <f t="shared" si="11"/>
        <v>-5</v>
      </c>
      <c r="G65" s="9">
        <v>0</v>
      </c>
      <c r="H65" s="9">
        <f>G65+$B$66/4</f>
        <v>5</v>
      </c>
      <c r="I65" s="7" t="s">
        <v>55</v>
      </c>
    </row>
    <row r="66" spans="1:9" ht="17.25" customHeight="1" thickBot="1">
      <c r="A66" s="80"/>
      <c r="B66" s="20">
        <v>20</v>
      </c>
      <c r="C66" s="11" t="s">
        <v>9</v>
      </c>
      <c r="D66" s="9">
        <f>D65-$B$66/4</f>
        <v>-20</v>
      </c>
      <c r="E66" s="9">
        <f>E65-$B$66/4</f>
        <v>-15</v>
      </c>
      <c r="F66" s="9">
        <f>F65-$B$66/4</f>
        <v>-10</v>
      </c>
      <c r="G66" s="9">
        <f>G65-$B$66/4</f>
        <v>-5</v>
      </c>
      <c r="H66" s="9">
        <v>0</v>
      </c>
      <c r="I66" s="22" t="s">
        <v>56</v>
      </c>
    </row>
    <row r="67" spans="1:9" ht="17.25" customHeight="1">
      <c r="A67" s="80"/>
      <c r="B67" s="13" t="s">
        <v>38</v>
      </c>
      <c r="C67" s="3" t="s">
        <v>7</v>
      </c>
      <c r="D67" s="71" t="s">
        <v>8</v>
      </c>
      <c r="E67" s="71" t="s">
        <v>15</v>
      </c>
      <c r="F67" s="71" t="s">
        <v>16</v>
      </c>
      <c r="G67" s="71" t="s">
        <v>17</v>
      </c>
      <c r="H67" s="77" t="s">
        <v>9</v>
      </c>
      <c r="I67" s="83" t="s">
        <v>72</v>
      </c>
    </row>
    <row r="68" spans="1:9" ht="17.25" customHeight="1">
      <c r="A68" s="80"/>
      <c r="B68" s="15" t="s">
        <v>39</v>
      </c>
      <c r="C68" s="6" t="s">
        <v>11</v>
      </c>
      <c r="D68" s="72"/>
      <c r="E68" s="72"/>
      <c r="F68" s="72"/>
      <c r="G68" s="72"/>
      <c r="H68" s="78"/>
      <c r="I68" s="74"/>
    </row>
    <row r="69" spans="1:9" ht="17.25" customHeight="1">
      <c r="A69" s="80"/>
      <c r="B69" s="15" t="s">
        <v>73</v>
      </c>
      <c r="C69" s="8" t="s">
        <v>8</v>
      </c>
      <c r="D69" s="9">
        <v>0</v>
      </c>
      <c r="E69" s="9">
        <f t="shared" ref="E69:G70" si="12">D69+$B$73/4</f>
        <v>5</v>
      </c>
      <c r="F69" s="9">
        <f t="shared" si="12"/>
        <v>10</v>
      </c>
      <c r="G69" s="9">
        <f t="shared" si="12"/>
        <v>15</v>
      </c>
      <c r="H69" s="9">
        <f>G69+$B$73/4</f>
        <v>20</v>
      </c>
      <c r="I69" s="7" t="s">
        <v>74</v>
      </c>
    </row>
    <row r="70" spans="1:9" ht="17.25" customHeight="1">
      <c r="A70" s="80"/>
      <c r="B70" s="15" t="s">
        <v>69</v>
      </c>
      <c r="C70" s="8" t="s">
        <v>15</v>
      </c>
      <c r="D70" s="9">
        <f>D69-$B$73/4</f>
        <v>-5</v>
      </c>
      <c r="E70" s="9">
        <v>0</v>
      </c>
      <c r="F70" s="9">
        <f t="shared" si="12"/>
        <v>5</v>
      </c>
      <c r="G70" s="9">
        <f>F70+$B$73/4</f>
        <v>10</v>
      </c>
      <c r="H70" s="9">
        <f>G70+$B$73/4</f>
        <v>15</v>
      </c>
      <c r="I70" s="7" t="s">
        <v>75</v>
      </c>
    </row>
    <row r="71" spans="1:9" ht="17.25" customHeight="1">
      <c r="A71" s="80"/>
      <c r="B71" s="15" t="s">
        <v>76</v>
      </c>
      <c r="C71" s="8" t="s">
        <v>16</v>
      </c>
      <c r="D71" s="9">
        <f>D70-$B$73/4</f>
        <v>-10</v>
      </c>
      <c r="E71" s="9">
        <f t="shared" ref="E71:G73" si="13">E70-$B$73/4</f>
        <v>-5</v>
      </c>
      <c r="F71" s="9">
        <v>0</v>
      </c>
      <c r="G71" s="9">
        <f>F71+$B$73/4</f>
        <v>5</v>
      </c>
      <c r="H71" s="9">
        <f>G71+$B$73/4</f>
        <v>10</v>
      </c>
      <c r="I71" s="7" t="s">
        <v>77</v>
      </c>
    </row>
    <row r="72" spans="1:9" ht="17.25" customHeight="1">
      <c r="A72" s="80"/>
      <c r="B72" s="15" t="s">
        <v>71</v>
      </c>
      <c r="C72" s="8" t="s">
        <v>17</v>
      </c>
      <c r="D72" s="9">
        <f>D71-$B$73/4</f>
        <v>-15</v>
      </c>
      <c r="E72" s="9">
        <f t="shared" si="13"/>
        <v>-10</v>
      </c>
      <c r="F72" s="9">
        <f t="shared" si="13"/>
        <v>-5</v>
      </c>
      <c r="G72" s="9">
        <v>0</v>
      </c>
      <c r="H72" s="9">
        <f>G72+$B$73/4</f>
        <v>5</v>
      </c>
      <c r="I72" s="7" t="s">
        <v>78</v>
      </c>
    </row>
    <row r="73" spans="1:9" ht="17.25" customHeight="1" thickBot="1">
      <c r="A73" s="81"/>
      <c r="B73" s="20">
        <v>20</v>
      </c>
      <c r="C73" s="11" t="s">
        <v>9</v>
      </c>
      <c r="D73" s="27">
        <f>D72-$B$73/4</f>
        <v>-20</v>
      </c>
      <c r="E73" s="27">
        <f t="shared" si="13"/>
        <v>-15</v>
      </c>
      <c r="F73" s="27">
        <f t="shared" si="13"/>
        <v>-10</v>
      </c>
      <c r="G73" s="27">
        <f t="shared" si="13"/>
        <v>-5</v>
      </c>
      <c r="H73" s="27">
        <v>0</v>
      </c>
      <c r="I73" s="22" t="s">
        <v>79</v>
      </c>
    </row>
    <row r="74" spans="1:9" ht="21.75" customHeight="1">
      <c r="A74" s="70" t="s">
        <v>80</v>
      </c>
      <c r="B74" s="13" t="s">
        <v>81</v>
      </c>
      <c r="C74" s="3" t="s">
        <v>7</v>
      </c>
      <c r="D74" s="71" t="s">
        <v>8</v>
      </c>
      <c r="E74" s="71" t="s">
        <v>15</v>
      </c>
      <c r="F74" s="71" t="s">
        <v>16</v>
      </c>
      <c r="G74" s="71" t="s">
        <v>17</v>
      </c>
      <c r="H74" s="77" t="s">
        <v>9</v>
      </c>
      <c r="I74" s="83" t="s">
        <v>82</v>
      </c>
    </row>
    <row r="75" spans="1:9" ht="21.75" customHeight="1">
      <c r="A75" s="70"/>
      <c r="B75" s="15" t="s">
        <v>83</v>
      </c>
      <c r="C75" s="6" t="s">
        <v>11</v>
      </c>
      <c r="D75" s="72"/>
      <c r="E75" s="72"/>
      <c r="F75" s="72"/>
      <c r="G75" s="72"/>
      <c r="H75" s="78"/>
      <c r="I75" s="73"/>
    </row>
    <row r="76" spans="1:9" ht="21.75" customHeight="1">
      <c r="A76" s="70"/>
      <c r="B76" s="15"/>
      <c r="C76" s="8" t="s">
        <v>8</v>
      </c>
      <c r="D76" s="9">
        <v>0</v>
      </c>
      <c r="E76" s="16">
        <f>D76+$B$80/4</f>
        <v>2.5</v>
      </c>
      <c r="F76" s="16">
        <f>E76+$B$80/4</f>
        <v>5</v>
      </c>
      <c r="G76" s="16">
        <f>F76+$B$80/4</f>
        <v>7.5</v>
      </c>
      <c r="H76" s="18">
        <f>G76+$B$80/4</f>
        <v>10</v>
      </c>
      <c r="I76" s="7" t="s">
        <v>84</v>
      </c>
    </row>
    <row r="77" spans="1:9" ht="21.75" customHeight="1">
      <c r="A77" s="70"/>
      <c r="B77" s="15"/>
      <c r="C77" s="8" t="s">
        <v>15</v>
      </c>
      <c r="D77" s="16">
        <f>D76-$B$80/4</f>
        <v>-2.5</v>
      </c>
      <c r="E77" s="16">
        <f t="shared" ref="E77:H80" si="14">E76-$B$80/4</f>
        <v>0</v>
      </c>
      <c r="F77" s="16">
        <f t="shared" si="14"/>
        <v>2.5</v>
      </c>
      <c r="G77" s="16">
        <f t="shared" si="14"/>
        <v>5</v>
      </c>
      <c r="H77" s="18">
        <f t="shared" si="14"/>
        <v>7.5</v>
      </c>
      <c r="I77" s="19" t="s">
        <v>85</v>
      </c>
    </row>
    <row r="78" spans="1:9" ht="21.75" customHeight="1">
      <c r="A78" s="70"/>
      <c r="B78" s="15"/>
      <c r="C78" s="8" t="s">
        <v>16</v>
      </c>
      <c r="D78" s="16">
        <f>D77-$B$80/4</f>
        <v>-5</v>
      </c>
      <c r="E78" s="16">
        <f t="shared" si="14"/>
        <v>-2.5</v>
      </c>
      <c r="F78" s="16">
        <f t="shared" si="14"/>
        <v>0</v>
      </c>
      <c r="G78" s="16">
        <f t="shared" si="14"/>
        <v>2.5</v>
      </c>
      <c r="H78" s="18">
        <f t="shared" si="14"/>
        <v>5</v>
      </c>
      <c r="I78" s="7" t="s">
        <v>86</v>
      </c>
    </row>
    <row r="79" spans="1:9" ht="21.75" customHeight="1">
      <c r="A79" s="70"/>
      <c r="B79" s="15"/>
      <c r="C79" s="8" t="s">
        <v>17</v>
      </c>
      <c r="D79" s="16">
        <f>D78-$B$80/4</f>
        <v>-7.5</v>
      </c>
      <c r="E79" s="16">
        <f t="shared" si="14"/>
        <v>-5</v>
      </c>
      <c r="F79" s="16">
        <f t="shared" si="14"/>
        <v>-2.5</v>
      </c>
      <c r="G79" s="16">
        <f t="shared" si="14"/>
        <v>0</v>
      </c>
      <c r="H79" s="18">
        <f t="shared" si="14"/>
        <v>2.5</v>
      </c>
      <c r="I79" s="19" t="s">
        <v>87</v>
      </c>
    </row>
    <row r="80" spans="1:9" ht="21.75" customHeight="1" thickBot="1">
      <c r="A80" s="70"/>
      <c r="B80" s="34">
        <v>10</v>
      </c>
      <c r="C80" s="11" t="s">
        <v>9</v>
      </c>
      <c r="D80" s="35">
        <f>D79-$B$80/4</f>
        <v>-10</v>
      </c>
      <c r="E80" s="35">
        <f t="shared" si="14"/>
        <v>-7.5</v>
      </c>
      <c r="F80" s="35">
        <f t="shared" si="14"/>
        <v>-5</v>
      </c>
      <c r="G80" s="35">
        <f t="shared" si="14"/>
        <v>-2.5</v>
      </c>
      <c r="H80" s="36">
        <f t="shared" si="14"/>
        <v>0</v>
      </c>
      <c r="I80" s="37" t="s">
        <v>88</v>
      </c>
    </row>
    <row r="81" spans="1:9" ht="21.75" customHeight="1">
      <c r="A81" s="70"/>
      <c r="B81" s="13" t="s">
        <v>89</v>
      </c>
      <c r="C81" s="38" t="s">
        <v>7</v>
      </c>
      <c r="D81" s="85" t="s">
        <v>8</v>
      </c>
      <c r="E81" s="85" t="s">
        <v>15</v>
      </c>
      <c r="F81" s="85" t="s">
        <v>16</v>
      </c>
      <c r="G81" s="85" t="s">
        <v>17</v>
      </c>
      <c r="H81" s="85" t="s">
        <v>9</v>
      </c>
      <c r="I81" s="86" t="s">
        <v>90</v>
      </c>
    </row>
    <row r="82" spans="1:9" ht="17.25" customHeight="1">
      <c r="A82" s="70"/>
      <c r="B82" s="15" t="s">
        <v>91</v>
      </c>
      <c r="C82" s="6" t="s">
        <v>11</v>
      </c>
      <c r="D82" s="72"/>
      <c r="E82" s="72"/>
      <c r="F82" s="72"/>
      <c r="G82" s="72"/>
      <c r="H82" s="72"/>
      <c r="I82" s="87"/>
    </row>
    <row r="83" spans="1:9" ht="20.100000000000001" customHeight="1">
      <c r="A83" s="70"/>
      <c r="B83" s="15" t="s">
        <v>35</v>
      </c>
      <c r="C83" s="8" t="s">
        <v>8</v>
      </c>
      <c r="D83" s="9">
        <v>0</v>
      </c>
      <c r="E83" s="16">
        <f t="shared" ref="E83:G84" si="15">D83+$B$87/4</f>
        <v>2.5</v>
      </c>
      <c r="F83" s="16">
        <f t="shared" si="15"/>
        <v>5</v>
      </c>
      <c r="G83" s="16">
        <f t="shared" si="15"/>
        <v>7.5</v>
      </c>
      <c r="H83" s="16">
        <f>G83+$B$87/4</f>
        <v>10</v>
      </c>
      <c r="I83" s="39" t="s">
        <v>92</v>
      </c>
    </row>
    <row r="84" spans="1:9" ht="20.100000000000001" customHeight="1">
      <c r="A84" s="70"/>
      <c r="B84" s="15"/>
      <c r="C84" s="8" t="s">
        <v>15</v>
      </c>
      <c r="D84" s="16">
        <f>D83-$B$87/4</f>
        <v>-2.5</v>
      </c>
      <c r="E84" s="9">
        <f>D83</f>
        <v>0</v>
      </c>
      <c r="F84" s="16">
        <f t="shared" si="15"/>
        <v>2.5</v>
      </c>
      <c r="G84" s="16">
        <f>F84+$B$87/4</f>
        <v>5</v>
      </c>
      <c r="H84" s="16">
        <f>G84+$B$87/4</f>
        <v>7.5</v>
      </c>
      <c r="I84" s="39" t="s">
        <v>93</v>
      </c>
    </row>
    <row r="85" spans="1:9" ht="20.100000000000001" customHeight="1">
      <c r="A85" s="70"/>
      <c r="B85" s="15"/>
      <c r="C85" s="8" t="s">
        <v>16</v>
      </c>
      <c r="D85" s="16">
        <f>D84-$B$87/4</f>
        <v>-5</v>
      </c>
      <c r="E85" s="16">
        <f t="shared" ref="E85:G87" si="16">E84-$B$87/4</f>
        <v>-2.5</v>
      </c>
      <c r="F85" s="9">
        <f>D83</f>
        <v>0</v>
      </c>
      <c r="G85" s="16">
        <f>F85+$B$87/4</f>
        <v>2.5</v>
      </c>
      <c r="H85" s="16">
        <f>G85+$B$87/4</f>
        <v>5</v>
      </c>
      <c r="I85" s="39" t="s">
        <v>94</v>
      </c>
    </row>
    <row r="86" spans="1:9" ht="20.100000000000001" customHeight="1">
      <c r="A86" s="70"/>
      <c r="B86" s="15"/>
      <c r="C86" s="8" t="s">
        <v>17</v>
      </c>
      <c r="D86" s="16">
        <f>D85-$B$87/4</f>
        <v>-7.5</v>
      </c>
      <c r="E86" s="16">
        <f t="shared" si="16"/>
        <v>-5</v>
      </c>
      <c r="F86" s="16">
        <f t="shared" si="16"/>
        <v>-2.5</v>
      </c>
      <c r="G86" s="9">
        <f>D83</f>
        <v>0</v>
      </c>
      <c r="H86" s="16">
        <f>G86+$B$87/4</f>
        <v>2.5</v>
      </c>
      <c r="I86" s="39" t="s">
        <v>95</v>
      </c>
    </row>
    <row r="87" spans="1:9" ht="20.100000000000001" customHeight="1" thickBot="1">
      <c r="A87" s="70"/>
      <c r="B87" s="20">
        <v>10</v>
      </c>
      <c r="C87" s="11" t="s">
        <v>9</v>
      </c>
      <c r="D87" s="16">
        <f>D86-$B$87/4</f>
        <v>-10</v>
      </c>
      <c r="E87" s="16">
        <f t="shared" si="16"/>
        <v>-7.5</v>
      </c>
      <c r="F87" s="16">
        <f t="shared" si="16"/>
        <v>-5</v>
      </c>
      <c r="G87" s="16">
        <f t="shared" si="16"/>
        <v>-2.5</v>
      </c>
      <c r="H87" s="9">
        <f>D83</f>
        <v>0</v>
      </c>
      <c r="I87" s="22" t="s">
        <v>96</v>
      </c>
    </row>
    <row r="88" spans="1:9" ht="17.25" customHeight="1">
      <c r="A88" s="70"/>
      <c r="B88" s="13" t="s">
        <v>97</v>
      </c>
      <c r="C88" s="3" t="s">
        <v>7</v>
      </c>
      <c r="D88" s="71" t="s">
        <v>8</v>
      </c>
      <c r="E88" s="71" t="s">
        <v>15</v>
      </c>
      <c r="F88" s="71" t="s">
        <v>16</v>
      </c>
      <c r="G88" s="71" t="s">
        <v>17</v>
      </c>
      <c r="H88" s="77" t="s">
        <v>9</v>
      </c>
      <c r="I88" s="83" t="s">
        <v>183</v>
      </c>
    </row>
    <row r="89" spans="1:9" ht="24" customHeight="1">
      <c r="A89" s="70"/>
      <c r="B89" s="15" t="s">
        <v>182</v>
      </c>
      <c r="C89" s="6" t="s">
        <v>11</v>
      </c>
      <c r="D89" s="72"/>
      <c r="E89" s="72"/>
      <c r="F89" s="72"/>
      <c r="G89" s="72"/>
      <c r="H89" s="78"/>
      <c r="I89" s="74"/>
    </row>
    <row r="90" spans="1:9" ht="24" customHeight="1">
      <c r="A90" s="70"/>
      <c r="B90" s="15" t="s">
        <v>98</v>
      </c>
      <c r="C90" s="8" t="s">
        <v>8</v>
      </c>
      <c r="D90" s="16">
        <v>0</v>
      </c>
      <c r="E90" s="16">
        <f t="shared" ref="E90:H93" si="17">D90+$B$94/4</f>
        <v>7.5</v>
      </c>
      <c r="F90" s="16">
        <f t="shared" si="17"/>
        <v>15</v>
      </c>
      <c r="G90" s="16">
        <f t="shared" si="17"/>
        <v>22.5</v>
      </c>
      <c r="H90" s="18">
        <f>G90+$B$94/4</f>
        <v>30</v>
      </c>
      <c r="I90" s="39" t="s">
        <v>184</v>
      </c>
    </row>
    <row r="91" spans="1:9" ht="24.75" customHeight="1">
      <c r="A91" s="70"/>
      <c r="B91" s="15" t="s">
        <v>99</v>
      </c>
      <c r="C91" s="8" t="s">
        <v>15</v>
      </c>
      <c r="D91" s="16">
        <f t="shared" ref="D91:H94" si="18">D90-$B$94/4</f>
        <v>-7.5</v>
      </c>
      <c r="E91" s="16">
        <f>D90</f>
        <v>0</v>
      </c>
      <c r="F91" s="16">
        <f t="shared" si="17"/>
        <v>7.5</v>
      </c>
      <c r="G91" s="16">
        <f t="shared" si="17"/>
        <v>15</v>
      </c>
      <c r="H91" s="18">
        <f t="shared" si="17"/>
        <v>22.5</v>
      </c>
      <c r="I91" s="39" t="s">
        <v>185</v>
      </c>
    </row>
    <row r="92" spans="1:9" ht="24.75" customHeight="1">
      <c r="A92" s="70"/>
      <c r="B92" s="15" t="s">
        <v>100</v>
      </c>
      <c r="C92" s="8" t="s">
        <v>16</v>
      </c>
      <c r="D92" s="16">
        <f t="shared" si="18"/>
        <v>-15</v>
      </c>
      <c r="E92" s="16">
        <f t="shared" si="18"/>
        <v>-7.5</v>
      </c>
      <c r="F92" s="16">
        <f>D90</f>
        <v>0</v>
      </c>
      <c r="G92" s="16">
        <f t="shared" si="17"/>
        <v>7.5</v>
      </c>
      <c r="H92" s="18">
        <f t="shared" si="17"/>
        <v>15</v>
      </c>
      <c r="I92" s="39" t="s">
        <v>186</v>
      </c>
    </row>
    <row r="93" spans="1:9" ht="25.5" customHeight="1">
      <c r="A93" s="70"/>
      <c r="B93" s="15" t="s">
        <v>101</v>
      </c>
      <c r="C93" s="8" t="s">
        <v>17</v>
      </c>
      <c r="D93" s="16">
        <f t="shared" si="18"/>
        <v>-22.5</v>
      </c>
      <c r="E93" s="16">
        <f t="shared" si="18"/>
        <v>-15</v>
      </c>
      <c r="F93" s="16">
        <f t="shared" si="18"/>
        <v>-7.5</v>
      </c>
      <c r="G93" s="16">
        <f>D90</f>
        <v>0</v>
      </c>
      <c r="H93" s="18">
        <f t="shared" si="17"/>
        <v>7.5</v>
      </c>
      <c r="I93" s="39" t="s">
        <v>187</v>
      </c>
    </row>
    <row r="94" spans="1:9" ht="25.5" customHeight="1" thickBot="1">
      <c r="A94" s="70"/>
      <c r="B94" s="20">
        <v>30</v>
      </c>
      <c r="C94" s="11" t="s">
        <v>9</v>
      </c>
      <c r="D94" s="35">
        <f>D93-$B$94/4</f>
        <v>-30</v>
      </c>
      <c r="E94" s="35">
        <f t="shared" si="18"/>
        <v>-22.5</v>
      </c>
      <c r="F94" s="35">
        <f t="shared" si="18"/>
        <v>-15</v>
      </c>
      <c r="G94" s="35">
        <f t="shared" si="18"/>
        <v>-7.5</v>
      </c>
      <c r="H94" s="36">
        <f t="shared" si="18"/>
        <v>0</v>
      </c>
      <c r="I94" s="19" t="s">
        <v>188</v>
      </c>
    </row>
    <row r="95" spans="1:9" ht="25.5" customHeight="1">
      <c r="A95" s="70"/>
      <c r="B95" s="13" t="s">
        <v>102</v>
      </c>
      <c r="C95" s="3" t="s">
        <v>7</v>
      </c>
      <c r="D95" s="71" t="s">
        <v>8</v>
      </c>
      <c r="E95" s="71" t="s">
        <v>15</v>
      </c>
      <c r="F95" s="71" t="s">
        <v>16</v>
      </c>
      <c r="G95" s="71" t="s">
        <v>17</v>
      </c>
      <c r="H95" s="77" t="s">
        <v>9</v>
      </c>
      <c r="I95" s="83" t="s">
        <v>103</v>
      </c>
    </row>
    <row r="96" spans="1:9" ht="17.25" customHeight="1">
      <c r="A96" s="70"/>
      <c r="B96" s="15" t="s">
        <v>104</v>
      </c>
      <c r="C96" s="6" t="s">
        <v>11</v>
      </c>
      <c r="D96" s="72"/>
      <c r="E96" s="72"/>
      <c r="F96" s="72"/>
      <c r="G96" s="72"/>
      <c r="H96" s="78"/>
      <c r="I96" s="74"/>
    </row>
    <row r="97" spans="1:9" ht="17.25" customHeight="1">
      <c r="A97" s="70"/>
      <c r="B97" s="15"/>
      <c r="C97" s="8" t="s">
        <v>8</v>
      </c>
      <c r="D97" s="9">
        <v>0</v>
      </c>
      <c r="E97" s="9">
        <f t="shared" ref="E97:G98" si="19">D97+$B$101/4</f>
        <v>5</v>
      </c>
      <c r="F97" s="9">
        <f t="shared" si="19"/>
        <v>10</v>
      </c>
      <c r="G97" s="9">
        <f t="shared" si="19"/>
        <v>15</v>
      </c>
      <c r="H97" s="9">
        <f>G97+$B$101/4</f>
        <v>20</v>
      </c>
      <c r="I97" s="39" t="s">
        <v>105</v>
      </c>
    </row>
    <row r="98" spans="1:9" ht="18" customHeight="1">
      <c r="A98" s="70"/>
      <c r="B98" s="15"/>
      <c r="C98" s="8" t="s">
        <v>15</v>
      </c>
      <c r="D98" s="9">
        <f>D97-$B$101/4</f>
        <v>-5</v>
      </c>
      <c r="E98" s="9">
        <f>D97</f>
        <v>0</v>
      </c>
      <c r="F98" s="9">
        <f t="shared" si="19"/>
        <v>5</v>
      </c>
      <c r="G98" s="9">
        <f>F98+$B$101/4</f>
        <v>10</v>
      </c>
      <c r="H98" s="9">
        <f>G98+$B$101/4</f>
        <v>15</v>
      </c>
      <c r="I98" s="39" t="s">
        <v>106</v>
      </c>
    </row>
    <row r="99" spans="1:9" ht="18" customHeight="1">
      <c r="A99" s="70"/>
      <c r="B99" s="15"/>
      <c r="C99" s="8" t="s">
        <v>16</v>
      </c>
      <c r="D99" s="9">
        <f>D98-$B$101/4</f>
        <v>-10</v>
      </c>
      <c r="E99" s="9">
        <f>E98-$B$101/4</f>
        <v>-5</v>
      </c>
      <c r="F99" s="9">
        <f>D97</f>
        <v>0</v>
      </c>
      <c r="G99" s="9">
        <f>F99+$B$101/4</f>
        <v>5</v>
      </c>
      <c r="H99" s="9">
        <f>G99+$B$101/4</f>
        <v>10</v>
      </c>
      <c r="I99" s="39" t="s">
        <v>107</v>
      </c>
    </row>
    <row r="100" spans="1:9" ht="18" customHeight="1">
      <c r="A100" s="70"/>
      <c r="B100" s="15"/>
      <c r="C100" s="8" t="s">
        <v>17</v>
      </c>
      <c r="D100" s="9">
        <f>D99-$B$101/4</f>
        <v>-15</v>
      </c>
      <c r="E100" s="9">
        <f>E99-$B$101/4</f>
        <v>-10</v>
      </c>
      <c r="F100" s="9">
        <f>F99-$B$101/4</f>
        <v>-5</v>
      </c>
      <c r="G100" s="9">
        <f>D97</f>
        <v>0</v>
      </c>
      <c r="H100" s="9">
        <f>G100+$B$101/4</f>
        <v>5</v>
      </c>
      <c r="I100" s="39" t="s">
        <v>108</v>
      </c>
    </row>
    <row r="101" spans="1:9" ht="18" customHeight="1" thickBot="1">
      <c r="A101" s="84"/>
      <c r="B101" s="20">
        <v>20</v>
      </c>
      <c r="C101" s="11" t="s">
        <v>9</v>
      </c>
      <c r="D101" s="27">
        <f>D100-$B$101/4</f>
        <v>-20</v>
      </c>
      <c r="E101" s="27">
        <f>E100-$B$101/4</f>
        <v>-15</v>
      </c>
      <c r="F101" s="27">
        <f>F100-$B$101/4</f>
        <v>-10</v>
      </c>
      <c r="G101" s="27">
        <f>G100-$B$101/4</f>
        <v>-5</v>
      </c>
      <c r="H101" s="28">
        <f>D97</f>
        <v>0</v>
      </c>
      <c r="I101" s="19" t="s">
        <v>109</v>
      </c>
    </row>
    <row r="102" spans="1:9" ht="17.25" customHeight="1">
      <c r="A102" s="79" t="s">
        <v>197</v>
      </c>
      <c r="B102" s="13" t="s">
        <v>189</v>
      </c>
      <c r="C102" s="3" t="s">
        <v>7</v>
      </c>
      <c r="D102" s="71" t="s">
        <v>8</v>
      </c>
      <c r="E102" s="71" t="s">
        <v>15</v>
      </c>
      <c r="F102" s="71" t="s">
        <v>16</v>
      </c>
      <c r="G102" s="71" t="s">
        <v>17</v>
      </c>
      <c r="H102" s="77" t="s">
        <v>9</v>
      </c>
      <c r="I102" s="88" t="s">
        <v>195</v>
      </c>
    </row>
    <row r="103" spans="1:9">
      <c r="A103" s="92"/>
      <c r="B103" s="15" t="s">
        <v>190</v>
      </c>
      <c r="C103" s="6" t="s">
        <v>11</v>
      </c>
      <c r="D103" s="72"/>
      <c r="E103" s="72"/>
      <c r="F103" s="72"/>
      <c r="G103" s="72"/>
      <c r="H103" s="78"/>
      <c r="I103" s="89"/>
    </row>
    <row r="104" spans="1:9" s="40" customFormat="1">
      <c r="A104" s="92"/>
      <c r="B104" s="15" t="s">
        <v>191</v>
      </c>
      <c r="C104" s="8" t="s">
        <v>8</v>
      </c>
      <c r="D104" s="9">
        <v>0</v>
      </c>
      <c r="E104" s="9">
        <f>D104+$B$108/4</f>
        <v>2</v>
      </c>
      <c r="F104" s="9">
        <f>E104+$B$108/4</f>
        <v>4</v>
      </c>
      <c r="G104" s="9">
        <f>F104+$B$108/4</f>
        <v>6</v>
      </c>
      <c r="H104" s="25">
        <f>G104+$B$108/4</f>
        <v>8</v>
      </c>
      <c r="I104" s="39" t="s">
        <v>59</v>
      </c>
    </row>
    <row r="105" spans="1:9" s="40" customFormat="1">
      <c r="A105" s="92"/>
      <c r="B105" s="15" t="s">
        <v>192</v>
      </c>
      <c r="C105" s="8" t="s">
        <v>15</v>
      </c>
      <c r="D105" s="9">
        <f>D104-$B$108/4</f>
        <v>-2</v>
      </c>
      <c r="E105" s="9">
        <f>D104</f>
        <v>0</v>
      </c>
      <c r="F105" s="9">
        <f>F104-$B$108/4</f>
        <v>2</v>
      </c>
      <c r="G105" s="9">
        <f>G104-$B$108/4</f>
        <v>4</v>
      </c>
      <c r="H105" s="25">
        <f>H104-$B$108/4</f>
        <v>6</v>
      </c>
      <c r="I105" s="39" t="s">
        <v>61</v>
      </c>
    </row>
    <row r="106" spans="1:9" s="40" customFormat="1" ht="18" customHeight="1">
      <c r="A106" s="92"/>
      <c r="B106" s="15" t="s">
        <v>193</v>
      </c>
      <c r="C106" s="8" t="s">
        <v>16</v>
      </c>
      <c r="D106" s="9">
        <f>D105-$B$108/4</f>
        <v>-4</v>
      </c>
      <c r="E106" s="9">
        <f>E105-$B$108/4</f>
        <v>-2</v>
      </c>
      <c r="F106" s="9">
        <f>D104</f>
        <v>0</v>
      </c>
      <c r="G106" s="9">
        <f>G105-$B$108/4</f>
        <v>2</v>
      </c>
      <c r="H106" s="25">
        <f>H105-$B$108/4</f>
        <v>4</v>
      </c>
      <c r="I106" s="39" t="s">
        <v>63</v>
      </c>
    </row>
    <row r="107" spans="1:9" s="40" customFormat="1" ht="19.5" customHeight="1">
      <c r="A107" s="92"/>
      <c r="B107" s="15" t="s">
        <v>194</v>
      </c>
      <c r="C107" s="8" t="s">
        <v>17</v>
      </c>
      <c r="D107" s="9">
        <f>D106-$B$108/4</f>
        <v>-6</v>
      </c>
      <c r="E107" s="9">
        <f>E106-$B$108/4</f>
        <v>-4</v>
      </c>
      <c r="F107" s="9">
        <f>F106-$B$108/4</f>
        <v>-2</v>
      </c>
      <c r="G107" s="9">
        <f>D104</f>
        <v>0</v>
      </c>
      <c r="H107" s="25">
        <f>H106-$B$108/4</f>
        <v>2</v>
      </c>
      <c r="I107" s="39" t="s">
        <v>64</v>
      </c>
    </row>
    <row r="108" spans="1:9" s="40" customFormat="1" ht="17.25" thickBot="1">
      <c r="A108" s="92"/>
      <c r="B108" s="20">
        <v>8</v>
      </c>
      <c r="C108" s="11" t="s">
        <v>9</v>
      </c>
      <c r="D108" s="27">
        <f>D107-$B$108/4</f>
        <v>-8</v>
      </c>
      <c r="E108" s="27">
        <f>E107-$B$108/4</f>
        <v>-6</v>
      </c>
      <c r="F108" s="27">
        <f>F107-$B$108/4</f>
        <v>-4</v>
      </c>
      <c r="G108" s="27">
        <f>G107-$B$108/4</f>
        <v>-2</v>
      </c>
      <c r="H108" s="28">
        <f>D104</f>
        <v>0</v>
      </c>
      <c r="I108" s="22" t="s">
        <v>110</v>
      </c>
    </row>
    <row r="109" spans="1:9" ht="17.25" customHeight="1">
      <c r="A109" s="92"/>
      <c r="B109" s="13" t="s">
        <v>111</v>
      </c>
      <c r="C109" s="3" t="s">
        <v>7</v>
      </c>
      <c r="D109" s="71" t="s">
        <v>8</v>
      </c>
      <c r="E109" s="71" t="s">
        <v>15</v>
      </c>
      <c r="F109" s="71" t="s">
        <v>16</v>
      </c>
      <c r="G109" s="71" t="s">
        <v>17</v>
      </c>
      <c r="H109" s="77" t="s">
        <v>9</v>
      </c>
      <c r="I109" s="90" t="s">
        <v>196</v>
      </c>
    </row>
    <row r="110" spans="1:9">
      <c r="A110" s="92"/>
      <c r="B110" s="15" t="s">
        <v>112</v>
      </c>
      <c r="C110" s="6" t="s">
        <v>11</v>
      </c>
      <c r="D110" s="72"/>
      <c r="E110" s="72"/>
      <c r="F110" s="72"/>
      <c r="G110" s="72"/>
      <c r="H110" s="78"/>
      <c r="I110" s="91"/>
    </row>
    <row r="111" spans="1:9">
      <c r="A111" s="92"/>
      <c r="B111" s="15" t="s">
        <v>99</v>
      </c>
      <c r="C111" s="8" t="s">
        <v>8</v>
      </c>
      <c r="D111" s="16">
        <v>0</v>
      </c>
      <c r="E111" s="16">
        <f>D111+$B$115/4</f>
        <v>2.5</v>
      </c>
      <c r="F111" s="16">
        <f>E111+$B$115/4</f>
        <v>5</v>
      </c>
      <c r="G111" s="16">
        <f>F111+$B$115/4</f>
        <v>7.5</v>
      </c>
      <c r="H111" s="18">
        <f>G111+$B$115/4</f>
        <v>10</v>
      </c>
      <c r="I111" s="7" t="s">
        <v>113</v>
      </c>
    </row>
    <row r="112" spans="1:9">
      <c r="A112" s="92"/>
      <c r="B112" s="15" t="s">
        <v>114</v>
      </c>
      <c r="C112" s="8" t="s">
        <v>15</v>
      </c>
      <c r="D112" s="16">
        <f>D111-$B$115/4</f>
        <v>-2.5</v>
      </c>
      <c r="E112" s="16">
        <f>D111</f>
        <v>0</v>
      </c>
      <c r="F112" s="16">
        <f>F111-$B$115/4</f>
        <v>2.5</v>
      </c>
      <c r="G112" s="16">
        <f>G111-$B$115/4</f>
        <v>5</v>
      </c>
      <c r="H112" s="18">
        <f>H111-$B$115/4</f>
        <v>7.5</v>
      </c>
      <c r="I112" s="7" t="s">
        <v>115</v>
      </c>
    </row>
    <row r="113" spans="1:9">
      <c r="A113" s="92"/>
      <c r="B113" s="15" t="s">
        <v>71</v>
      </c>
      <c r="C113" s="8" t="s">
        <v>16</v>
      </c>
      <c r="D113" s="16">
        <f>D112-$B$115/4</f>
        <v>-5</v>
      </c>
      <c r="E113" s="16">
        <f>E112-$B$115/4</f>
        <v>-2.5</v>
      </c>
      <c r="F113" s="16">
        <f>D111</f>
        <v>0</v>
      </c>
      <c r="G113" s="16">
        <f>G112-$B$115/4</f>
        <v>2.5</v>
      </c>
      <c r="H113" s="18">
        <f>H112-$B$115/4</f>
        <v>5</v>
      </c>
      <c r="I113" s="7" t="s">
        <v>116</v>
      </c>
    </row>
    <row r="114" spans="1:9">
      <c r="A114" s="92"/>
      <c r="B114" s="15"/>
      <c r="C114" s="8" t="s">
        <v>17</v>
      </c>
      <c r="D114" s="16">
        <f>D113-$B$115/4</f>
        <v>-7.5</v>
      </c>
      <c r="E114" s="16">
        <f>E113-$B$115/4</f>
        <v>-5</v>
      </c>
      <c r="F114" s="16">
        <f>F113-$B$115/4</f>
        <v>-2.5</v>
      </c>
      <c r="G114" s="16">
        <f>D111</f>
        <v>0</v>
      </c>
      <c r="H114" s="18">
        <f>H113-$B$115/4</f>
        <v>2.5</v>
      </c>
      <c r="I114" s="7" t="s">
        <v>117</v>
      </c>
    </row>
    <row r="115" spans="1:9" ht="17.25" thickBot="1">
      <c r="A115" s="92"/>
      <c r="B115" s="20">
        <v>10</v>
      </c>
      <c r="C115" s="11" t="s">
        <v>9</v>
      </c>
      <c r="D115" s="35">
        <f>D114-$B$115/4</f>
        <v>-10</v>
      </c>
      <c r="E115" s="35">
        <f>E114-$B$115/4</f>
        <v>-7.5</v>
      </c>
      <c r="F115" s="35">
        <f>F114-$B$115/4</f>
        <v>-5</v>
      </c>
      <c r="G115" s="35">
        <f>G114-$B$115/4</f>
        <v>-2.5</v>
      </c>
      <c r="H115" s="36">
        <f>D111</f>
        <v>0</v>
      </c>
      <c r="I115" s="7" t="s">
        <v>118</v>
      </c>
    </row>
    <row r="116" spans="1:9">
      <c r="A116" s="92"/>
      <c r="B116" s="13" t="s">
        <v>119</v>
      </c>
      <c r="C116" s="3" t="s">
        <v>7</v>
      </c>
      <c r="D116" s="85" t="s">
        <v>8</v>
      </c>
      <c r="E116" s="85" t="s">
        <v>15</v>
      </c>
      <c r="F116" s="85" t="s">
        <v>16</v>
      </c>
      <c r="G116" s="85" t="s">
        <v>17</v>
      </c>
      <c r="H116" s="94" t="s">
        <v>9</v>
      </c>
      <c r="I116" s="83" t="s">
        <v>120</v>
      </c>
    </row>
    <row r="117" spans="1:9">
      <c r="A117" s="92"/>
      <c r="B117" s="15" t="s">
        <v>121</v>
      </c>
      <c r="C117" s="6" t="s">
        <v>11</v>
      </c>
      <c r="D117" s="72"/>
      <c r="E117" s="72"/>
      <c r="F117" s="72"/>
      <c r="G117" s="72"/>
      <c r="H117" s="78"/>
      <c r="I117" s="74"/>
    </row>
    <row r="118" spans="1:9">
      <c r="A118" s="92"/>
      <c r="B118" s="15" t="s">
        <v>122</v>
      </c>
      <c r="C118" s="8" t="s">
        <v>8</v>
      </c>
      <c r="D118" s="9">
        <v>0</v>
      </c>
      <c r="E118" s="9">
        <f>D118+$B$122/4</f>
        <v>5</v>
      </c>
      <c r="F118" s="9">
        <f>E118+$B$122/4</f>
        <v>10</v>
      </c>
      <c r="G118" s="9">
        <f>F118+$B$122/4</f>
        <v>15</v>
      </c>
      <c r="H118" s="9">
        <f>G118+$B$122/4</f>
        <v>20</v>
      </c>
      <c r="I118" s="41" t="s">
        <v>123</v>
      </c>
    </row>
    <row r="119" spans="1:9">
      <c r="A119" s="92"/>
      <c r="B119" s="15" t="s">
        <v>124</v>
      </c>
      <c r="C119" s="8" t="s">
        <v>15</v>
      </c>
      <c r="D119" s="9">
        <f>D118-$B$122/4</f>
        <v>-5</v>
      </c>
      <c r="E119" s="9">
        <f>D118</f>
        <v>0</v>
      </c>
      <c r="F119" s="9">
        <f>F118-$B$122/4</f>
        <v>5</v>
      </c>
      <c r="G119" s="9">
        <f>G118-$B$122/4</f>
        <v>10</v>
      </c>
      <c r="H119" s="9">
        <f>H118-$B$122/4</f>
        <v>15</v>
      </c>
      <c r="I119" s="41" t="s">
        <v>125</v>
      </c>
    </row>
    <row r="120" spans="1:9">
      <c r="A120" s="92"/>
      <c r="B120" s="15"/>
      <c r="C120" s="8" t="s">
        <v>16</v>
      </c>
      <c r="D120" s="9">
        <f>D119-$B$122/4</f>
        <v>-10</v>
      </c>
      <c r="E120" s="9">
        <f>E119-$B$122/4</f>
        <v>-5</v>
      </c>
      <c r="F120" s="9">
        <f>D118</f>
        <v>0</v>
      </c>
      <c r="G120" s="9">
        <f>G119-$B$122/4</f>
        <v>5</v>
      </c>
      <c r="H120" s="9">
        <f>H119-$B$122/4</f>
        <v>10</v>
      </c>
      <c r="I120" s="41" t="s">
        <v>126</v>
      </c>
    </row>
    <row r="121" spans="1:9">
      <c r="A121" s="92"/>
      <c r="B121" s="15"/>
      <c r="C121" s="8" t="s">
        <v>17</v>
      </c>
      <c r="D121" s="9">
        <f>D120-$B$122/4</f>
        <v>-15</v>
      </c>
      <c r="E121" s="9">
        <f>E120-$B$122/4</f>
        <v>-10</v>
      </c>
      <c r="F121" s="9">
        <f>F120-$B$122/4</f>
        <v>-5</v>
      </c>
      <c r="G121" s="9">
        <f>D118</f>
        <v>0</v>
      </c>
      <c r="H121" s="25">
        <f>H120-$B$122/4</f>
        <v>5</v>
      </c>
      <c r="I121" s="41" t="s">
        <v>127</v>
      </c>
    </row>
    <row r="122" spans="1:9" ht="17.25" thickBot="1">
      <c r="A122" s="92"/>
      <c r="B122" s="20">
        <v>20</v>
      </c>
      <c r="C122" s="21" t="s">
        <v>9</v>
      </c>
      <c r="D122" s="9">
        <f>D121-$B$122/4</f>
        <v>-20</v>
      </c>
      <c r="E122" s="9">
        <f>E121-$B$122/4</f>
        <v>-15</v>
      </c>
      <c r="F122" s="9">
        <f>F121-$B$122/4</f>
        <v>-10</v>
      </c>
      <c r="G122" s="9">
        <f>G121-$B$122/4</f>
        <v>-5</v>
      </c>
      <c r="H122" s="28">
        <f>D118</f>
        <v>0</v>
      </c>
      <c r="I122" s="24" t="s">
        <v>128</v>
      </c>
    </row>
    <row r="123" spans="1:9" ht="16.149999999999999" customHeight="1">
      <c r="A123" s="92"/>
      <c r="B123" s="13" t="s">
        <v>129</v>
      </c>
      <c r="C123" s="3" t="s">
        <v>7</v>
      </c>
      <c r="D123" s="71" t="s">
        <v>8</v>
      </c>
      <c r="E123" s="71" t="s">
        <v>15</v>
      </c>
      <c r="F123" s="71" t="s">
        <v>16</v>
      </c>
      <c r="G123" s="71" t="s">
        <v>17</v>
      </c>
      <c r="H123" s="77" t="s">
        <v>9</v>
      </c>
      <c r="I123" s="95" t="s">
        <v>130</v>
      </c>
    </row>
    <row r="124" spans="1:9">
      <c r="A124" s="92"/>
      <c r="B124" s="15" t="s">
        <v>131</v>
      </c>
      <c r="C124" s="6" t="s">
        <v>11</v>
      </c>
      <c r="D124" s="72"/>
      <c r="E124" s="72"/>
      <c r="F124" s="72"/>
      <c r="G124" s="72"/>
      <c r="H124" s="78"/>
      <c r="I124" s="96"/>
    </row>
    <row r="125" spans="1:9">
      <c r="A125" s="92"/>
      <c r="B125" s="15" t="s">
        <v>69</v>
      </c>
      <c r="C125" s="8" t="s">
        <v>8</v>
      </c>
      <c r="D125" s="9">
        <v>0</v>
      </c>
      <c r="E125" s="9">
        <f>D125+$B$129/4</f>
        <v>5</v>
      </c>
      <c r="F125" s="9">
        <f>E125+$B$129/4</f>
        <v>10</v>
      </c>
      <c r="G125" s="9">
        <f>F125+$B$129/4</f>
        <v>15</v>
      </c>
      <c r="H125" s="9">
        <f>G125+$B$129/4</f>
        <v>20</v>
      </c>
      <c r="I125" s="42" t="s">
        <v>132</v>
      </c>
    </row>
    <row r="126" spans="1:9" ht="33" customHeight="1">
      <c r="A126" s="92"/>
      <c r="B126" s="15" t="s">
        <v>133</v>
      </c>
      <c r="C126" s="8" t="s">
        <v>15</v>
      </c>
      <c r="D126" s="9">
        <f>D125-$B$129/4</f>
        <v>-5</v>
      </c>
      <c r="E126" s="9">
        <f>D125</f>
        <v>0</v>
      </c>
      <c r="F126" s="9">
        <f>F125-$B$129/4</f>
        <v>5</v>
      </c>
      <c r="G126" s="9">
        <f>G125-$B$129/4</f>
        <v>10</v>
      </c>
      <c r="H126" s="9">
        <f>H125-$B$129/4</f>
        <v>15</v>
      </c>
      <c r="I126" s="42" t="s">
        <v>198</v>
      </c>
    </row>
    <row r="127" spans="1:9" ht="39" customHeight="1">
      <c r="A127" s="92"/>
      <c r="B127" s="15"/>
      <c r="C127" s="8" t="s">
        <v>16</v>
      </c>
      <c r="D127" s="9">
        <f>D126-$B$129/4</f>
        <v>-10</v>
      </c>
      <c r="E127" s="9">
        <f>E126-$B$129/4</f>
        <v>-5</v>
      </c>
      <c r="F127" s="9">
        <f>D125</f>
        <v>0</v>
      </c>
      <c r="G127" s="9">
        <f>G126-$B$129/4</f>
        <v>5</v>
      </c>
      <c r="H127" s="9">
        <f>H126-$B$129/4</f>
        <v>10</v>
      </c>
      <c r="I127" s="42" t="s">
        <v>199</v>
      </c>
    </row>
    <row r="128" spans="1:9" ht="40.9" customHeight="1">
      <c r="A128" s="92"/>
      <c r="B128" s="15"/>
      <c r="C128" s="8" t="s">
        <v>17</v>
      </c>
      <c r="D128" s="9">
        <f>D127-$B$129/4</f>
        <v>-15</v>
      </c>
      <c r="E128" s="9">
        <f>E127-$B$129/4</f>
        <v>-10</v>
      </c>
      <c r="F128" s="9">
        <f>F127-$B$129/4</f>
        <v>-5</v>
      </c>
      <c r="G128" s="9">
        <f>D125</f>
        <v>0</v>
      </c>
      <c r="H128" s="9">
        <f>G128+$B$129/4</f>
        <v>5</v>
      </c>
      <c r="I128" s="42" t="s">
        <v>200</v>
      </c>
    </row>
    <row r="129" spans="1:9" ht="33.75" thickBot="1">
      <c r="A129" s="92"/>
      <c r="B129" s="20">
        <v>20</v>
      </c>
      <c r="C129" s="11" t="s">
        <v>9</v>
      </c>
      <c r="D129" s="27">
        <f>D128-$B$129/4</f>
        <v>-20</v>
      </c>
      <c r="E129" s="27">
        <f>E128-$B$129/4</f>
        <v>-15</v>
      </c>
      <c r="F129" s="27">
        <f>F128-$B$129/4</f>
        <v>-10</v>
      </c>
      <c r="G129" s="27">
        <f>G128-$B$129/4</f>
        <v>-5</v>
      </c>
      <c r="H129" s="28">
        <f>D125</f>
        <v>0</v>
      </c>
      <c r="I129" s="43" t="s">
        <v>201</v>
      </c>
    </row>
    <row r="130" spans="1:9" ht="16.149999999999999" customHeight="1">
      <c r="A130" s="92"/>
      <c r="B130" s="13" t="s">
        <v>202</v>
      </c>
      <c r="C130" s="3" t="s">
        <v>7</v>
      </c>
      <c r="D130" s="85" t="s">
        <v>8</v>
      </c>
      <c r="E130" s="85" t="s">
        <v>15</v>
      </c>
      <c r="F130" s="85" t="s">
        <v>16</v>
      </c>
      <c r="G130" s="85" t="s">
        <v>17</v>
      </c>
      <c r="H130" s="94" t="s">
        <v>9</v>
      </c>
      <c r="I130" s="75" t="s">
        <v>134</v>
      </c>
    </row>
    <row r="131" spans="1:9">
      <c r="A131" s="92"/>
      <c r="B131" s="15" t="s">
        <v>203</v>
      </c>
      <c r="C131" s="6" t="s">
        <v>11</v>
      </c>
      <c r="D131" s="72"/>
      <c r="E131" s="72"/>
      <c r="F131" s="72"/>
      <c r="G131" s="72"/>
      <c r="H131" s="78"/>
      <c r="I131" s="76"/>
    </row>
    <row r="132" spans="1:9">
      <c r="A132" s="92"/>
      <c r="B132" s="15" t="s">
        <v>204</v>
      </c>
      <c r="C132" s="8" t="s">
        <v>8</v>
      </c>
      <c r="D132" s="16">
        <v>0</v>
      </c>
      <c r="E132" s="16">
        <f>D132+$B$136/4</f>
        <v>2.5</v>
      </c>
      <c r="F132" s="16">
        <f>E132+$B$136/4</f>
        <v>5</v>
      </c>
      <c r="G132" s="16">
        <f>F132+$B$136/4</f>
        <v>7.5</v>
      </c>
      <c r="H132" s="18">
        <f>G132+$B$136/4</f>
        <v>10</v>
      </c>
      <c r="I132" s="7" t="s">
        <v>59</v>
      </c>
    </row>
    <row r="133" spans="1:9">
      <c r="A133" s="92"/>
      <c r="B133" s="15" t="s">
        <v>205</v>
      </c>
      <c r="C133" s="8" t="s">
        <v>15</v>
      </c>
      <c r="D133" s="16">
        <f>D132-$B$136/4</f>
        <v>-2.5</v>
      </c>
      <c r="E133" s="16">
        <f>D132</f>
        <v>0</v>
      </c>
      <c r="F133" s="16">
        <f>F132-$B$136/4</f>
        <v>2.5</v>
      </c>
      <c r="G133" s="16">
        <f>G132-$B$136/4</f>
        <v>5</v>
      </c>
      <c r="H133" s="18">
        <f>H132-$B$136/4</f>
        <v>7.5</v>
      </c>
      <c r="I133" s="7" t="s">
        <v>61</v>
      </c>
    </row>
    <row r="134" spans="1:9">
      <c r="A134" s="92"/>
      <c r="B134" s="15" t="s">
        <v>206</v>
      </c>
      <c r="C134" s="8" t="s">
        <v>16</v>
      </c>
      <c r="D134" s="16">
        <f>D133-$B$136/4</f>
        <v>-5</v>
      </c>
      <c r="E134" s="16">
        <f>E133-$B$136/4</f>
        <v>-2.5</v>
      </c>
      <c r="F134" s="16">
        <f>D132</f>
        <v>0</v>
      </c>
      <c r="G134" s="16">
        <f>G133-$B$136/4</f>
        <v>2.5</v>
      </c>
      <c r="H134" s="18">
        <f>H133-$B$136/4</f>
        <v>5</v>
      </c>
      <c r="I134" s="7" t="s">
        <v>63</v>
      </c>
    </row>
    <row r="135" spans="1:9">
      <c r="A135" s="92"/>
      <c r="B135" s="15" t="s">
        <v>207</v>
      </c>
      <c r="C135" s="8" t="s">
        <v>17</v>
      </c>
      <c r="D135" s="16">
        <f>D134-$B$136/4</f>
        <v>-7.5</v>
      </c>
      <c r="E135" s="16">
        <f>E134-$B$136/4</f>
        <v>-5</v>
      </c>
      <c r="F135" s="16">
        <f>F134-$B$136/4</f>
        <v>-2.5</v>
      </c>
      <c r="G135" s="16">
        <f>D132</f>
        <v>0</v>
      </c>
      <c r="H135" s="18">
        <f>H134-$B$136/4</f>
        <v>2.5</v>
      </c>
      <c r="I135" s="7" t="s">
        <v>64</v>
      </c>
    </row>
    <row r="136" spans="1:9" ht="17.25" thickBot="1">
      <c r="A136" s="93"/>
      <c r="B136" s="20">
        <v>10</v>
      </c>
      <c r="C136" s="11" t="s">
        <v>9</v>
      </c>
      <c r="D136" s="35">
        <f>D135-$B$136/4</f>
        <v>-10</v>
      </c>
      <c r="E136" s="35">
        <f>E135-$B$136/4</f>
        <v>-7.5</v>
      </c>
      <c r="F136" s="35">
        <f>F135-$B$136/4</f>
        <v>-5</v>
      </c>
      <c r="G136" s="35">
        <f>G135-$B$136/4</f>
        <v>-2.5</v>
      </c>
      <c r="H136" s="36">
        <f>D132</f>
        <v>0</v>
      </c>
      <c r="I136" s="22" t="s">
        <v>110</v>
      </c>
    </row>
    <row r="137" spans="1:9" ht="17.25" customHeight="1">
      <c r="A137" s="69" t="s">
        <v>135</v>
      </c>
      <c r="B137" s="13" t="s">
        <v>136</v>
      </c>
      <c r="C137" s="3" t="s">
        <v>7</v>
      </c>
      <c r="D137" s="71" t="s">
        <v>8</v>
      </c>
      <c r="E137" s="71" t="s">
        <v>15</v>
      </c>
      <c r="F137" s="71" t="s">
        <v>16</v>
      </c>
      <c r="G137" s="71" t="s">
        <v>17</v>
      </c>
      <c r="H137" s="77" t="s">
        <v>9</v>
      </c>
      <c r="I137" s="88" t="s">
        <v>137</v>
      </c>
    </row>
    <row r="138" spans="1:9" ht="16.5" customHeight="1">
      <c r="A138" s="70"/>
      <c r="B138" s="15" t="s">
        <v>69</v>
      </c>
      <c r="C138" s="6" t="s">
        <v>11</v>
      </c>
      <c r="D138" s="72"/>
      <c r="E138" s="72"/>
      <c r="F138" s="72"/>
      <c r="G138" s="72"/>
      <c r="H138" s="78"/>
      <c r="I138" s="89"/>
    </row>
    <row r="139" spans="1:9">
      <c r="A139" s="70"/>
      <c r="B139" s="15" t="s">
        <v>138</v>
      </c>
      <c r="C139" s="8" t="s">
        <v>8</v>
      </c>
      <c r="D139" s="16">
        <v>0</v>
      </c>
      <c r="E139" s="16">
        <f>D139+$B$143/4</f>
        <v>2.5</v>
      </c>
      <c r="F139" s="16">
        <f>E139+$B$143/4</f>
        <v>5</v>
      </c>
      <c r="G139" s="16">
        <f>F139+$B$143/4</f>
        <v>7.5</v>
      </c>
      <c r="H139" s="18">
        <f>G139+$B$143/4</f>
        <v>10</v>
      </c>
      <c r="I139" s="7" t="s">
        <v>139</v>
      </c>
    </row>
    <row r="140" spans="1:9" ht="16.5" customHeight="1">
      <c r="A140" s="70"/>
      <c r="B140" s="15" t="s">
        <v>140</v>
      </c>
      <c r="C140" s="8" t="s">
        <v>15</v>
      </c>
      <c r="D140" s="16">
        <f>D139-$B$143/4</f>
        <v>-2.5</v>
      </c>
      <c r="E140" s="16">
        <f>D139</f>
        <v>0</v>
      </c>
      <c r="F140" s="16">
        <f>F139-$B$143/4</f>
        <v>2.5</v>
      </c>
      <c r="G140" s="16">
        <f>G139-$B$143/4</f>
        <v>5</v>
      </c>
      <c r="H140" s="18">
        <f>H139-$B$143/4</f>
        <v>7.5</v>
      </c>
      <c r="I140" s="7" t="s">
        <v>141</v>
      </c>
    </row>
    <row r="141" spans="1:9" ht="19.5" customHeight="1">
      <c r="A141" s="70"/>
      <c r="B141" s="15" t="s">
        <v>68</v>
      </c>
      <c r="C141" s="8" t="s">
        <v>16</v>
      </c>
      <c r="D141" s="16">
        <f>D140-$B$143/4</f>
        <v>-5</v>
      </c>
      <c r="E141" s="16">
        <f>E140-$B$143/4</f>
        <v>-2.5</v>
      </c>
      <c r="F141" s="16">
        <f>D139</f>
        <v>0</v>
      </c>
      <c r="G141" s="16">
        <f>G140-$B$143/4</f>
        <v>2.5</v>
      </c>
      <c r="H141" s="18">
        <f>H140-$B$143/4</f>
        <v>5</v>
      </c>
      <c r="I141" s="7" t="s">
        <v>142</v>
      </c>
    </row>
    <row r="142" spans="1:9">
      <c r="A142" s="70"/>
      <c r="B142" s="15" t="s">
        <v>143</v>
      </c>
      <c r="C142" s="8" t="s">
        <v>17</v>
      </c>
      <c r="D142" s="16">
        <f>D141-$B$143/4</f>
        <v>-7.5</v>
      </c>
      <c r="E142" s="16">
        <f>E141-$B$143/4</f>
        <v>-5</v>
      </c>
      <c r="F142" s="16">
        <f>F141-$B$143/4</f>
        <v>-2.5</v>
      </c>
      <c r="G142" s="16">
        <f>D139</f>
        <v>0</v>
      </c>
      <c r="H142" s="18">
        <f>H141-$B$143/4</f>
        <v>2.5</v>
      </c>
      <c r="I142" s="7" t="s">
        <v>144</v>
      </c>
    </row>
    <row r="143" spans="1:9" ht="17.25" thickBot="1">
      <c r="A143" s="70"/>
      <c r="B143" s="20">
        <v>10</v>
      </c>
      <c r="C143" s="11" t="s">
        <v>9</v>
      </c>
      <c r="D143" s="35">
        <f>D142-$B$143/4</f>
        <v>-10</v>
      </c>
      <c r="E143" s="35">
        <f>E142-$B$143/4</f>
        <v>-7.5</v>
      </c>
      <c r="F143" s="35">
        <f>F142-$B$143/4</f>
        <v>-5</v>
      </c>
      <c r="G143" s="35">
        <f>G142-$B$143/4</f>
        <v>-2.5</v>
      </c>
      <c r="H143" s="36">
        <f>D139</f>
        <v>0</v>
      </c>
      <c r="I143" s="19" t="s">
        <v>145</v>
      </c>
    </row>
    <row r="144" spans="1:9" ht="17.25" customHeight="1">
      <c r="A144" s="70"/>
      <c r="B144" s="13" t="s">
        <v>146</v>
      </c>
      <c r="C144" s="3" t="s">
        <v>7</v>
      </c>
      <c r="D144" s="97" t="s">
        <v>8</v>
      </c>
      <c r="E144" s="71" t="s">
        <v>15</v>
      </c>
      <c r="F144" s="71" t="s">
        <v>16</v>
      </c>
      <c r="G144" s="71" t="s">
        <v>17</v>
      </c>
      <c r="H144" s="77" t="s">
        <v>9</v>
      </c>
      <c r="I144" s="99" t="s">
        <v>147</v>
      </c>
    </row>
    <row r="145" spans="1:9">
      <c r="A145" s="70"/>
      <c r="B145" s="15" t="s">
        <v>68</v>
      </c>
      <c r="C145" s="6" t="s">
        <v>11</v>
      </c>
      <c r="D145" s="98"/>
      <c r="E145" s="72"/>
      <c r="F145" s="72"/>
      <c r="G145" s="72"/>
      <c r="H145" s="78"/>
      <c r="I145" s="100"/>
    </row>
    <row r="146" spans="1:9">
      <c r="A146" s="70"/>
      <c r="B146" s="15" t="s">
        <v>69</v>
      </c>
      <c r="C146" s="44" t="s">
        <v>8</v>
      </c>
      <c r="D146" s="45">
        <v>0</v>
      </c>
      <c r="E146" s="16">
        <f t="shared" ref="E146:G147" si="20">D146+$B$150/4</f>
        <v>2.5</v>
      </c>
      <c r="F146" s="16">
        <f t="shared" si="20"/>
        <v>5</v>
      </c>
      <c r="G146" s="16">
        <f t="shared" si="20"/>
        <v>7.5</v>
      </c>
      <c r="H146" s="18">
        <f>G146+$B$150/4</f>
        <v>10</v>
      </c>
      <c r="I146" s="7" t="s">
        <v>139</v>
      </c>
    </row>
    <row r="147" spans="1:9">
      <c r="A147" s="70"/>
      <c r="B147" s="15" t="s">
        <v>148</v>
      </c>
      <c r="C147" s="44" t="s">
        <v>15</v>
      </c>
      <c r="D147" s="45">
        <f>D146-$B$150/4</f>
        <v>-2.5</v>
      </c>
      <c r="E147" s="16">
        <f>D146</f>
        <v>0</v>
      </c>
      <c r="F147" s="16">
        <f t="shared" si="20"/>
        <v>2.5</v>
      </c>
      <c r="G147" s="16">
        <f>F147+$B$150/4</f>
        <v>5</v>
      </c>
      <c r="H147" s="18">
        <f>G147+$B$150/4</f>
        <v>7.5</v>
      </c>
      <c r="I147" s="7" t="s">
        <v>141</v>
      </c>
    </row>
    <row r="148" spans="1:9">
      <c r="A148" s="70"/>
      <c r="B148" s="15"/>
      <c r="C148" s="44" t="s">
        <v>16</v>
      </c>
      <c r="D148" s="45">
        <f>D147-$B$150/4</f>
        <v>-5</v>
      </c>
      <c r="E148" s="16">
        <f t="shared" ref="E148:G150" si="21">E147-$B$150/4</f>
        <v>-2.5</v>
      </c>
      <c r="F148" s="16">
        <f>D146</f>
        <v>0</v>
      </c>
      <c r="G148" s="16">
        <f>F148+$B$150/4</f>
        <v>2.5</v>
      </c>
      <c r="H148" s="18">
        <f>G148+$B$150/4</f>
        <v>5</v>
      </c>
      <c r="I148" s="7" t="s">
        <v>142</v>
      </c>
    </row>
    <row r="149" spans="1:9">
      <c r="A149" s="70"/>
      <c r="B149" s="15"/>
      <c r="C149" s="44" t="s">
        <v>17</v>
      </c>
      <c r="D149" s="45">
        <f>D148-$B$150/4</f>
        <v>-7.5</v>
      </c>
      <c r="E149" s="16">
        <f t="shared" si="21"/>
        <v>-5</v>
      </c>
      <c r="F149" s="16">
        <f t="shared" si="21"/>
        <v>-2.5</v>
      </c>
      <c r="G149" s="16">
        <f>D146</f>
        <v>0</v>
      </c>
      <c r="H149" s="18">
        <f>G149+$B$150/4</f>
        <v>2.5</v>
      </c>
      <c r="I149" s="7" t="s">
        <v>144</v>
      </c>
    </row>
    <row r="150" spans="1:9" ht="17.25" thickBot="1">
      <c r="A150" s="70"/>
      <c r="B150" s="20">
        <v>10</v>
      </c>
      <c r="C150" s="46" t="s">
        <v>9</v>
      </c>
      <c r="D150" s="47">
        <f>D149-$B$150/4</f>
        <v>-10</v>
      </c>
      <c r="E150" s="35">
        <f t="shared" si="21"/>
        <v>-7.5</v>
      </c>
      <c r="F150" s="35">
        <f t="shared" si="21"/>
        <v>-5</v>
      </c>
      <c r="G150" s="35">
        <f t="shared" si="21"/>
        <v>-2.5</v>
      </c>
      <c r="H150" s="36">
        <f>D146</f>
        <v>0</v>
      </c>
      <c r="I150" s="19" t="s">
        <v>145</v>
      </c>
    </row>
    <row r="151" spans="1:9" ht="20.100000000000001" customHeight="1">
      <c r="A151" s="70"/>
      <c r="B151" s="15" t="s">
        <v>149</v>
      </c>
      <c r="C151" s="3" t="s">
        <v>7</v>
      </c>
      <c r="D151" s="101" t="s">
        <v>8</v>
      </c>
      <c r="E151" s="101" t="s">
        <v>15</v>
      </c>
      <c r="F151" s="101" t="s">
        <v>16</v>
      </c>
      <c r="G151" s="101" t="s">
        <v>17</v>
      </c>
      <c r="H151" s="103" t="s">
        <v>9</v>
      </c>
      <c r="I151" s="99" t="s">
        <v>150</v>
      </c>
    </row>
    <row r="152" spans="1:9" ht="20.100000000000001" customHeight="1">
      <c r="A152" s="70"/>
      <c r="B152" s="15" t="s">
        <v>151</v>
      </c>
      <c r="C152" s="6" t="s">
        <v>11</v>
      </c>
      <c r="D152" s="102"/>
      <c r="E152" s="102"/>
      <c r="F152" s="102"/>
      <c r="G152" s="102"/>
      <c r="H152" s="104"/>
      <c r="I152" s="100"/>
    </row>
    <row r="153" spans="1:9" ht="20.100000000000001" customHeight="1">
      <c r="A153" s="70"/>
      <c r="B153" s="15" t="s">
        <v>68</v>
      </c>
      <c r="C153" s="8" t="s">
        <v>8</v>
      </c>
      <c r="D153" s="16">
        <v>0</v>
      </c>
      <c r="E153" s="16">
        <f t="shared" ref="E153:G154" si="22">D153+$B$157/4</f>
        <v>2.5</v>
      </c>
      <c r="F153" s="16">
        <f t="shared" si="22"/>
        <v>5</v>
      </c>
      <c r="G153" s="16">
        <f t="shared" si="22"/>
        <v>7.5</v>
      </c>
      <c r="H153" s="18">
        <f>G153+$B$157/4</f>
        <v>10</v>
      </c>
      <c r="I153" s="7" t="s">
        <v>139</v>
      </c>
    </row>
    <row r="154" spans="1:9" ht="20.100000000000001" customHeight="1">
      <c r="A154" s="70"/>
      <c r="B154" s="15" t="s">
        <v>152</v>
      </c>
      <c r="C154" s="8" t="s">
        <v>15</v>
      </c>
      <c r="D154" s="16">
        <f>D153-$B$157/4</f>
        <v>-2.5</v>
      </c>
      <c r="E154" s="16">
        <f>D153</f>
        <v>0</v>
      </c>
      <c r="F154" s="16">
        <f t="shared" si="22"/>
        <v>2.5</v>
      </c>
      <c r="G154" s="16">
        <f>F154+$B$157/4</f>
        <v>5</v>
      </c>
      <c r="H154" s="18">
        <f>G154+$B$157/4</f>
        <v>7.5</v>
      </c>
      <c r="I154" s="7" t="s">
        <v>141</v>
      </c>
    </row>
    <row r="155" spans="1:9" ht="20.100000000000001" customHeight="1">
      <c r="A155" s="70"/>
      <c r="B155" s="15" t="s">
        <v>71</v>
      </c>
      <c r="C155" s="8" t="s">
        <v>16</v>
      </c>
      <c r="D155" s="16">
        <f>D154-$B$157/4</f>
        <v>-5</v>
      </c>
      <c r="E155" s="16">
        <f t="shared" ref="E155:G157" si="23">E154-$B$157/4</f>
        <v>-2.5</v>
      </c>
      <c r="F155" s="16">
        <f>D153</f>
        <v>0</v>
      </c>
      <c r="G155" s="16">
        <f>F155+$B$157/4</f>
        <v>2.5</v>
      </c>
      <c r="H155" s="18">
        <f>G155+$B$157/4</f>
        <v>5</v>
      </c>
      <c r="I155" s="7" t="s">
        <v>142</v>
      </c>
    </row>
    <row r="156" spans="1:9" ht="20.100000000000001" customHeight="1">
      <c r="A156" s="70"/>
      <c r="B156" s="15"/>
      <c r="C156" s="8" t="s">
        <v>17</v>
      </c>
      <c r="D156" s="16">
        <f>D155-$B$157/4</f>
        <v>-7.5</v>
      </c>
      <c r="E156" s="16">
        <f t="shared" si="23"/>
        <v>-5</v>
      </c>
      <c r="F156" s="16">
        <f t="shared" si="23"/>
        <v>-2.5</v>
      </c>
      <c r="G156" s="16">
        <f>D153</f>
        <v>0</v>
      </c>
      <c r="H156" s="18">
        <f>G156+$B$157/4</f>
        <v>2.5</v>
      </c>
      <c r="I156" s="7" t="s">
        <v>144</v>
      </c>
    </row>
    <row r="157" spans="1:9" ht="20.100000000000001" customHeight="1" thickBot="1">
      <c r="A157" s="84"/>
      <c r="B157" s="20">
        <v>10</v>
      </c>
      <c r="C157" s="11" t="s">
        <v>9</v>
      </c>
      <c r="D157" s="35">
        <f>D156-$B$157/4</f>
        <v>-10</v>
      </c>
      <c r="E157" s="35">
        <f t="shared" si="23"/>
        <v>-7.5</v>
      </c>
      <c r="F157" s="35">
        <f t="shared" si="23"/>
        <v>-5</v>
      </c>
      <c r="G157" s="35">
        <f t="shared" si="23"/>
        <v>-2.5</v>
      </c>
      <c r="H157" s="36">
        <f>D153</f>
        <v>0</v>
      </c>
      <c r="I157" s="22" t="s">
        <v>145</v>
      </c>
    </row>
    <row r="158" spans="1:9">
      <c r="A158" s="70" t="s">
        <v>208</v>
      </c>
      <c r="B158" s="15" t="s">
        <v>209</v>
      </c>
      <c r="C158" s="38" t="s">
        <v>7</v>
      </c>
      <c r="D158" s="85" t="s">
        <v>8</v>
      </c>
      <c r="E158" s="85" t="s">
        <v>15</v>
      </c>
      <c r="F158" s="85" t="s">
        <v>16</v>
      </c>
      <c r="G158" s="85" t="s">
        <v>17</v>
      </c>
      <c r="H158" s="94" t="s">
        <v>9</v>
      </c>
      <c r="I158" s="89" t="s">
        <v>213</v>
      </c>
    </row>
    <row r="159" spans="1:9" ht="37.5" customHeight="1">
      <c r="A159" s="70"/>
      <c r="B159" s="15" t="s">
        <v>210</v>
      </c>
      <c r="C159" s="6" t="s">
        <v>11</v>
      </c>
      <c r="D159" s="72"/>
      <c r="E159" s="72"/>
      <c r="F159" s="72"/>
      <c r="G159" s="72"/>
      <c r="H159" s="78"/>
      <c r="I159" s="89"/>
    </row>
    <row r="160" spans="1:9" ht="16.149999999999999" customHeight="1">
      <c r="A160" s="70"/>
      <c r="B160" s="15" t="s">
        <v>211</v>
      </c>
      <c r="C160" s="8" t="s">
        <v>8</v>
      </c>
      <c r="D160" s="16">
        <v>0</v>
      </c>
      <c r="E160" s="16">
        <f>D160+$B$164/4</f>
        <v>5</v>
      </c>
      <c r="F160" s="16">
        <f>E160+$B$164/4</f>
        <v>10</v>
      </c>
      <c r="G160" s="16">
        <f>F160+$B$164/4</f>
        <v>15</v>
      </c>
      <c r="H160" s="18">
        <f>G160+$B$164/4</f>
        <v>20</v>
      </c>
      <c r="I160" s="7" t="s">
        <v>139</v>
      </c>
    </row>
    <row r="161" spans="1:9" ht="16.149999999999999" customHeight="1">
      <c r="A161" s="70"/>
      <c r="B161" s="15" t="s">
        <v>212</v>
      </c>
      <c r="C161" s="8" t="s">
        <v>15</v>
      </c>
      <c r="D161" s="16">
        <f>D160-$B$164/4</f>
        <v>-5</v>
      </c>
      <c r="E161" s="16">
        <f>D160</f>
        <v>0</v>
      </c>
      <c r="F161" s="16">
        <f>F160-$B$164/4</f>
        <v>5</v>
      </c>
      <c r="G161" s="16">
        <f>G160-$B$164/4</f>
        <v>10</v>
      </c>
      <c r="H161" s="18">
        <f>H160-$B$164/4</f>
        <v>15</v>
      </c>
      <c r="I161" s="7" t="s">
        <v>141</v>
      </c>
    </row>
    <row r="162" spans="1:9" ht="16.149999999999999" customHeight="1">
      <c r="A162" s="70"/>
      <c r="B162" s="15" t="s">
        <v>153</v>
      </c>
      <c r="C162" s="8" t="s">
        <v>16</v>
      </c>
      <c r="D162" s="16">
        <f>D161-$B$164/4</f>
        <v>-10</v>
      </c>
      <c r="E162" s="16">
        <f>E161-$B$164/4</f>
        <v>-5</v>
      </c>
      <c r="F162" s="16">
        <f>D160</f>
        <v>0</v>
      </c>
      <c r="G162" s="16">
        <f>G161-$B$164/4</f>
        <v>5</v>
      </c>
      <c r="H162" s="18">
        <f>H161-$B$164/4</f>
        <v>10</v>
      </c>
      <c r="I162" s="7" t="s">
        <v>142</v>
      </c>
    </row>
    <row r="163" spans="1:9" ht="16.149999999999999" customHeight="1">
      <c r="A163" s="70"/>
      <c r="B163" s="15" t="s">
        <v>154</v>
      </c>
      <c r="C163" s="8" t="s">
        <v>17</v>
      </c>
      <c r="D163" s="16">
        <f>D162-$B$164/4</f>
        <v>-15</v>
      </c>
      <c r="E163" s="16">
        <f>E162-$B$164/4</f>
        <v>-10</v>
      </c>
      <c r="F163" s="16">
        <f>F162-$B$164/4</f>
        <v>-5</v>
      </c>
      <c r="G163" s="16">
        <f>D160</f>
        <v>0</v>
      </c>
      <c r="H163" s="18">
        <f>H162-$B$164/4</f>
        <v>5</v>
      </c>
      <c r="I163" s="7" t="s">
        <v>144</v>
      </c>
    </row>
    <row r="164" spans="1:9" ht="16.149999999999999" customHeight="1" thickBot="1">
      <c r="A164" s="105"/>
      <c r="B164" s="48">
        <v>20</v>
      </c>
      <c r="C164" s="11" t="s">
        <v>9</v>
      </c>
      <c r="D164" s="35">
        <f>D163-$B$164/4</f>
        <v>-20</v>
      </c>
      <c r="E164" s="35">
        <f>E163-$B$164/4</f>
        <v>-15</v>
      </c>
      <c r="F164" s="35">
        <f>F163-$B$164/4</f>
        <v>-10</v>
      </c>
      <c r="G164" s="35">
        <f>G163-$B$164/4</f>
        <v>-5</v>
      </c>
      <c r="H164" s="36">
        <f>D160</f>
        <v>0</v>
      </c>
      <c r="I164" s="22" t="s">
        <v>145</v>
      </c>
    </row>
    <row r="165" spans="1:9" ht="19.5" customHeight="1" thickTop="1">
      <c r="A165" s="109" t="s">
        <v>155</v>
      </c>
      <c r="B165" s="13"/>
      <c r="C165" s="38" t="s">
        <v>7</v>
      </c>
      <c r="D165" s="85" t="s">
        <v>8</v>
      </c>
      <c r="E165" s="85" t="s">
        <v>15</v>
      </c>
      <c r="F165" s="85" t="s">
        <v>16</v>
      </c>
      <c r="G165" s="85" t="s">
        <v>17</v>
      </c>
      <c r="H165" s="94" t="s">
        <v>9</v>
      </c>
      <c r="I165" s="19" t="s">
        <v>156</v>
      </c>
    </row>
    <row r="166" spans="1:9">
      <c r="A166" s="70"/>
      <c r="B166" s="15"/>
      <c r="C166" s="6" t="s">
        <v>11</v>
      </c>
      <c r="D166" s="72"/>
      <c r="E166" s="72"/>
      <c r="F166" s="72"/>
      <c r="G166" s="72"/>
      <c r="H166" s="78"/>
      <c r="I166" s="19" t="s">
        <v>157</v>
      </c>
    </row>
    <row r="167" spans="1:9">
      <c r="A167" s="70"/>
      <c r="B167" s="15"/>
      <c r="C167" s="8" t="s">
        <v>8</v>
      </c>
      <c r="D167" s="16">
        <v>0</v>
      </c>
      <c r="E167" s="16">
        <f>D167+$B$171/4</f>
        <v>7.5</v>
      </c>
      <c r="F167" s="16">
        <f>E167+$B$171/4</f>
        <v>15</v>
      </c>
      <c r="G167" s="16">
        <f>F167+$B$171/4</f>
        <v>22.5</v>
      </c>
      <c r="H167" s="18">
        <f>G167+$B$171/4</f>
        <v>30</v>
      </c>
      <c r="I167" s="19"/>
    </row>
    <row r="168" spans="1:9">
      <c r="A168" s="70"/>
      <c r="B168" s="15"/>
      <c r="C168" s="8" t="s">
        <v>15</v>
      </c>
      <c r="D168" s="16">
        <f>D167-$B$171/4</f>
        <v>-7.5</v>
      </c>
      <c r="E168" s="16">
        <f>D167</f>
        <v>0</v>
      </c>
      <c r="F168" s="16">
        <f>F167-$B$171/4</f>
        <v>7.5</v>
      </c>
      <c r="G168" s="16">
        <f>G167-$B$171/4</f>
        <v>15</v>
      </c>
      <c r="H168" s="18">
        <f>G168+$B$171/4</f>
        <v>22.5</v>
      </c>
      <c r="I168" s="19"/>
    </row>
    <row r="169" spans="1:9">
      <c r="A169" s="70"/>
      <c r="B169" s="15"/>
      <c r="C169" s="8" t="s">
        <v>16</v>
      </c>
      <c r="D169" s="16">
        <f>D168-$B$171/4</f>
        <v>-15</v>
      </c>
      <c r="E169" s="16">
        <f>E168-$B$171/4</f>
        <v>-7.5</v>
      </c>
      <c r="F169" s="16">
        <f>D167</f>
        <v>0</v>
      </c>
      <c r="G169" s="16">
        <f>G168-$B$171/4</f>
        <v>7.5</v>
      </c>
      <c r="H169" s="18">
        <f>G169+$B$171/4</f>
        <v>15</v>
      </c>
      <c r="I169" s="19"/>
    </row>
    <row r="170" spans="1:9">
      <c r="A170" s="70"/>
      <c r="B170" s="15"/>
      <c r="C170" s="8" t="s">
        <v>17</v>
      </c>
      <c r="D170" s="16">
        <f>D169-$B$171/4</f>
        <v>-22.5</v>
      </c>
      <c r="E170" s="16">
        <f>E169-$B$171/4</f>
        <v>-15</v>
      </c>
      <c r="F170" s="16">
        <f>F169-$B$171/4</f>
        <v>-7.5</v>
      </c>
      <c r="G170" s="16">
        <f>D167</f>
        <v>0</v>
      </c>
      <c r="H170" s="18">
        <f>G170+$B$171/4</f>
        <v>7.5</v>
      </c>
      <c r="I170" s="19"/>
    </row>
    <row r="171" spans="1:9" ht="17.25" thickBot="1">
      <c r="A171" s="84"/>
      <c r="B171" s="20">
        <v>30</v>
      </c>
      <c r="C171" s="11" t="s">
        <v>9</v>
      </c>
      <c r="D171" s="35">
        <f>D170-$B$171/4</f>
        <v>-30</v>
      </c>
      <c r="E171" s="35">
        <f>E170-$B$171/4</f>
        <v>-22.5</v>
      </c>
      <c r="F171" s="35">
        <f>F170-$B$171/4</f>
        <v>-15</v>
      </c>
      <c r="G171" s="35">
        <f>G170-$B$171/4</f>
        <v>-7.5</v>
      </c>
      <c r="H171" s="36">
        <f>D167</f>
        <v>0</v>
      </c>
      <c r="I171" s="22"/>
    </row>
    <row r="172" spans="1:9">
      <c r="A172" s="107" t="s">
        <v>158</v>
      </c>
      <c r="B172" s="107"/>
    </row>
    <row r="173" spans="1:9">
      <c r="A173" s="108" t="s">
        <v>216</v>
      </c>
      <c r="B173" s="108"/>
      <c r="C173" s="108"/>
      <c r="D173" s="108"/>
      <c r="E173" s="108"/>
      <c r="F173" s="108"/>
      <c r="G173" s="108"/>
      <c r="H173" s="108"/>
      <c r="I173" s="108"/>
    </row>
    <row r="174" spans="1:9">
      <c r="A174" s="108" t="s">
        <v>214</v>
      </c>
      <c r="B174" s="108"/>
      <c r="C174" s="108"/>
      <c r="D174" s="108"/>
      <c r="E174" s="108"/>
      <c r="F174" s="108"/>
      <c r="G174" s="108"/>
      <c r="H174" s="108"/>
      <c r="I174" s="108"/>
    </row>
    <row r="175" spans="1:9">
      <c r="A175" s="108" t="s">
        <v>215</v>
      </c>
      <c r="B175" s="108"/>
      <c r="C175" s="108"/>
      <c r="D175" s="108"/>
      <c r="E175" s="108"/>
      <c r="F175" s="108"/>
      <c r="G175" s="108"/>
      <c r="H175" s="108"/>
      <c r="I175" s="108"/>
    </row>
    <row r="176" spans="1:9">
      <c r="A176" s="106"/>
      <c r="B176" s="106"/>
      <c r="C176" s="106"/>
      <c r="D176" s="106"/>
      <c r="E176" s="106"/>
      <c r="F176" s="106"/>
      <c r="G176" s="106"/>
      <c r="H176" s="106"/>
      <c r="I176" s="106"/>
    </row>
    <row r="177" spans="1:9">
      <c r="A177" s="106"/>
      <c r="B177" s="106"/>
      <c r="C177" s="106"/>
      <c r="D177" s="106"/>
      <c r="E177" s="106"/>
      <c r="F177" s="106"/>
      <c r="G177" s="106"/>
      <c r="H177" s="106"/>
      <c r="I177" s="106"/>
    </row>
    <row r="178" spans="1:9">
      <c r="A178" s="106"/>
      <c r="B178" s="106"/>
      <c r="C178" s="106"/>
      <c r="D178" s="106"/>
      <c r="E178" s="106"/>
      <c r="F178" s="106"/>
      <c r="G178" s="106"/>
      <c r="H178" s="106"/>
      <c r="I178" s="106"/>
    </row>
    <row r="179" spans="1:9">
      <c r="A179" s="106"/>
      <c r="B179" s="106"/>
      <c r="C179" s="106"/>
      <c r="D179" s="106"/>
      <c r="E179" s="106"/>
      <c r="F179" s="106"/>
      <c r="G179" s="106"/>
      <c r="H179" s="106"/>
      <c r="I179" s="106"/>
    </row>
    <row r="189" spans="1:9">
      <c r="A189" s="49"/>
      <c r="B189" s="50"/>
      <c r="C189" s="50"/>
      <c r="D189" s="50"/>
      <c r="E189" s="50"/>
      <c r="F189" s="50"/>
      <c r="G189" s="50"/>
      <c r="H189" s="50"/>
      <c r="I189" s="50"/>
    </row>
    <row r="190" spans="1:9">
      <c r="A190" s="49"/>
      <c r="B190" s="50"/>
      <c r="C190" s="50"/>
      <c r="D190" s="50"/>
      <c r="E190" s="50"/>
      <c r="F190" s="50"/>
      <c r="G190" s="50"/>
      <c r="H190" s="50"/>
      <c r="I190" s="50"/>
    </row>
    <row r="191" spans="1:9">
      <c r="A191" s="49"/>
      <c r="B191" s="50"/>
      <c r="C191" s="50"/>
      <c r="D191" s="50"/>
      <c r="E191" s="50"/>
      <c r="F191" s="50"/>
      <c r="G191" s="50"/>
      <c r="H191" s="50"/>
      <c r="I191" s="50"/>
    </row>
    <row r="192" spans="1:9">
      <c r="A192" s="49"/>
      <c r="B192" s="50"/>
      <c r="C192" s="50"/>
      <c r="D192" s="50"/>
      <c r="E192" s="50"/>
      <c r="F192" s="50"/>
      <c r="G192" s="50"/>
      <c r="H192" s="50"/>
      <c r="I192" s="50"/>
    </row>
    <row r="193" spans="1:9">
      <c r="A193" s="49"/>
      <c r="B193" s="50"/>
      <c r="C193" s="50"/>
      <c r="D193" s="50"/>
      <c r="E193" s="50"/>
      <c r="F193" s="50"/>
      <c r="G193" s="50"/>
      <c r="H193" s="50"/>
      <c r="I193" s="50"/>
    </row>
    <row r="194" spans="1:9">
      <c r="A194" s="49"/>
      <c r="B194" s="50"/>
      <c r="C194" s="50"/>
      <c r="D194" s="50"/>
      <c r="E194" s="50"/>
      <c r="F194" s="50"/>
      <c r="G194" s="50"/>
      <c r="H194" s="50"/>
      <c r="I194" s="50"/>
    </row>
    <row r="195" spans="1:9">
      <c r="A195" s="49"/>
      <c r="B195" s="50"/>
      <c r="C195" s="50"/>
      <c r="D195" s="50"/>
      <c r="E195" s="50"/>
      <c r="F195" s="50"/>
      <c r="G195" s="50"/>
      <c r="H195" s="50"/>
      <c r="I195" s="50"/>
    </row>
    <row r="196" spans="1:9">
      <c r="A196" s="49"/>
      <c r="B196" s="50"/>
      <c r="C196" s="50"/>
      <c r="D196" s="50"/>
      <c r="E196" s="50"/>
      <c r="F196" s="50"/>
      <c r="G196" s="50"/>
      <c r="H196" s="50"/>
      <c r="I196" s="50"/>
    </row>
    <row r="197" spans="1:9">
      <c r="A197" s="49"/>
      <c r="B197" s="50"/>
      <c r="C197" s="50"/>
      <c r="D197" s="50"/>
      <c r="E197" s="50"/>
      <c r="F197" s="50"/>
      <c r="G197" s="50"/>
      <c r="H197" s="50"/>
      <c r="I197" s="50"/>
    </row>
    <row r="198" spans="1:9">
      <c r="A198" s="49"/>
      <c r="B198" s="50"/>
      <c r="C198" s="50"/>
      <c r="D198" s="50"/>
      <c r="E198" s="50"/>
      <c r="F198" s="50"/>
      <c r="G198" s="50"/>
      <c r="H198" s="50"/>
      <c r="I198" s="50"/>
    </row>
    <row r="199" spans="1:9">
      <c r="A199" s="49"/>
      <c r="B199" s="50"/>
      <c r="C199" s="50"/>
      <c r="D199" s="50"/>
      <c r="E199" s="50"/>
      <c r="F199" s="50"/>
      <c r="G199" s="50"/>
      <c r="H199" s="50"/>
      <c r="I199" s="50"/>
    </row>
    <row r="200" spans="1:9">
      <c r="A200" s="49"/>
      <c r="B200" s="50"/>
      <c r="C200" s="50"/>
      <c r="D200" s="50"/>
      <c r="E200" s="50"/>
      <c r="F200" s="50"/>
      <c r="G200" s="50"/>
      <c r="H200" s="50"/>
      <c r="I200" s="50"/>
    </row>
    <row r="201" spans="1:9">
      <c r="A201" s="49"/>
      <c r="B201" s="50"/>
      <c r="C201" s="50"/>
      <c r="D201" s="50"/>
      <c r="E201" s="50"/>
      <c r="F201" s="50"/>
      <c r="G201" s="50"/>
      <c r="H201" s="50"/>
      <c r="I201" s="50"/>
    </row>
    <row r="202" spans="1:9">
      <c r="A202" s="49"/>
      <c r="B202" s="50"/>
      <c r="C202" s="50"/>
      <c r="D202" s="50"/>
      <c r="E202" s="50"/>
      <c r="F202" s="50"/>
      <c r="G202" s="50"/>
      <c r="H202" s="50"/>
      <c r="I202" s="50"/>
    </row>
    <row r="203" spans="1:9">
      <c r="A203" s="49"/>
      <c r="B203" s="50"/>
      <c r="C203" s="50"/>
      <c r="D203" s="50"/>
      <c r="E203" s="50"/>
      <c r="F203" s="50"/>
      <c r="G203" s="50"/>
      <c r="H203" s="50"/>
      <c r="I203" s="50"/>
    </row>
    <row r="204" spans="1:9">
      <c r="A204" s="49"/>
      <c r="B204" s="50"/>
      <c r="C204" s="50"/>
      <c r="D204" s="50"/>
      <c r="E204" s="50"/>
      <c r="F204" s="50"/>
      <c r="G204" s="50"/>
      <c r="H204" s="50"/>
      <c r="I204" s="50"/>
    </row>
    <row r="205" spans="1:9">
      <c r="A205" s="49"/>
      <c r="B205" s="50"/>
      <c r="C205" s="50"/>
      <c r="D205" s="50"/>
      <c r="E205" s="50"/>
      <c r="F205" s="50"/>
      <c r="G205" s="50"/>
      <c r="H205" s="50"/>
      <c r="I205" s="50"/>
    </row>
    <row r="206" spans="1:9">
      <c r="A206" s="49"/>
      <c r="B206" s="50"/>
      <c r="C206" s="50"/>
      <c r="D206" s="50"/>
      <c r="E206" s="50"/>
      <c r="F206" s="50"/>
      <c r="G206" s="50"/>
      <c r="H206" s="50"/>
      <c r="I206" s="50"/>
    </row>
    <row r="207" spans="1:9">
      <c r="A207" s="49"/>
      <c r="B207" s="50"/>
      <c r="C207" s="50"/>
      <c r="D207" s="50"/>
      <c r="E207" s="50"/>
      <c r="F207" s="50"/>
      <c r="G207" s="50"/>
      <c r="H207" s="50"/>
      <c r="I207" s="50"/>
    </row>
    <row r="208" spans="1:9">
      <c r="A208" s="49"/>
      <c r="B208" s="50"/>
      <c r="C208" s="50"/>
      <c r="D208" s="50"/>
      <c r="E208" s="50"/>
      <c r="F208" s="50"/>
      <c r="G208" s="50"/>
      <c r="H208" s="50"/>
      <c r="I208" s="50"/>
    </row>
    <row r="209" spans="1:9">
      <c r="A209" s="49"/>
      <c r="B209" s="50"/>
      <c r="C209" s="50"/>
      <c r="D209" s="50"/>
      <c r="E209" s="50"/>
      <c r="F209" s="50"/>
      <c r="G209" s="50"/>
      <c r="H209" s="50"/>
      <c r="I209" s="50"/>
    </row>
    <row r="210" spans="1:9">
      <c r="A210" s="49"/>
      <c r="B210" s="50"/>
      <c r="C210" s="50"/>
      <c r="D210" s="50"/>
      <c r="E210" s="50"/>
      <c r="F210" s="50"/>
      <c r="G210" s="50"/>
      <c r="H210" s="50"/>
      <c r="I210" s="50"/>
    </row>
    <row r="211" spans="1:9">
      <c r="A211" s="49"/>
      <c r="B211" s="50"/>
      <c r="C211" s="50"/>
      <c r="D211" s="50"/>
      <c r="E211" s="50"/>
      <c r="F211" s="50"/>
      <c r="G211" s="50"/>
      <c r="H211" s="50"/>
      <c r="I211" s="50"/>
    </row>
    <row r="212" spans="1:9">
      <c r="A212" s="49"/>
      <c r="B212" s="50"/>
      <c r="C212" s="50"/>
      <c r="D212" s="50"/>
      <c r="E212" s="50"/>
      <c r="F212" s="50"/>
      <c r="G212" s="50"/>
      <c r="H212" s="50"/>
      <c r="I212" s="50"/>
    </row>
    <row r="213" spans="1:9">
      <c r="A213" s="49"/>
      <c r="B213" s="50"/>
      <c r="C213" s="50"/>
      <c r="D213" s="50"/>
      <c r="E213" s="50"/>
      <c r="F213" s="50"/>
      <c r="G213" s="50"/>
      <c r="H213" s="50"/>
      <c r="I213" s="50"/>
    </row>
    <row r="214" spans="1:9">
      <c r="A214" s="49"/>
      <c r="B214" s="50"/>
      <c r="C214" s="50"/>
      <c r="D214" s="50"/>
      <c r="E214" s="50"/>
      <c r="F214" s="50"/>
      <c r="G214" s="50"/>
      <c r="H214" s="50"/>
      <c r="I214" s="50"/>
    </row>
    <row r="215" spans="1:9">
      <c r="A215" s="49"/>
      <c r="B215" s="50"/>
      <c r="C215" s="50"/>
      <c r="D215" s="50"/>
      <c r="E215" s="50"/>
      <c r="F215" s="50"/>
      <c r="G215" s="50"/>
      <c r="H215" s="50"/>
      <c r="I215" s="50"/>
    </row>
    <row r="216" spans="1:9">
      <c r="A216" s="49"/>
      <c r="B216" s="50"/>
      <c r="C216" s="50"/>
      <c r="D216" s="50"/>
      <c r="E216" s="50"/>
      <c r="F216" s="50"/>
      <c r="G216" s="50"/>
      <c r="H216" s="50"/>
      <c r="I216" s="50"/>
    </row>
    <row r="217" spans="1:9">
      <c r="A217" s="49"/>
      <c r="B217" s="50"/>
      <c r="C217" s="50"/>
      <c r="D217" s="50"/>
      <c r="E217" s="50"/>
      <c r="F217" s="50"/>
      <c r="G217" s="50"/>
      <c r="H217" s="50"/>
      <c r="I217" s="50"/>
    </row>
    <row r="218" spans="1:9">
      <c r="A218" s="49"/>
      <c r="B218" s="50"/>
      <c r="C218" s="50"/>
      <c r="D218" s="50"/>
      <c r="E218" s="50"/>
      <c r="F218" s="50"/>
      <c r="G218" s="50"/>
      <c r="H218" s="50"/>
      <c r="I218" s="50"/>
    </row>
    <row r="219" spans="1:9">
      <c r="A219" s="49"/>
      <c r="B219" s="50"/>
      <c r="C219" s="50"/>
      <c r="D219" s="50"/>
      <c r="E219" s="50"/>
      <c r="F219" s="50"/>
      <c r="G219" s="50"/>
      <c r="H219" s="50"/>
      <c r="I219" s="50"/>
    </row>
    <row r="220" spans="1:9">
      <c r="A220" s="49"/>
      <c r="B220" s="50"/>
      <c r="C220" s="50"/>
      <c r="D220" s="50"/>
      <c r="E220" s="50"/>
      <c r="F220" s="50"/>
      <c r="G220" s="50"/>
      <c r="H220" s="50"/>
      <c r="I220" s="50"/>
    </row>
    <row r="221" spans="1:9">
      <c r="A221" s="49"/>
      <c r="B221" s="50"/>
      <c r="C221" s="50"/>
      <c r="D221" s="50"/>
      <c r="E221" s="50"/>
      <c r="F221" s="50"/>
      <c r="G221" s="50"/>
      <c r="H221" s="50"/>
      <c r="I221" s="50"/>
    </row>
    <row r="222" spans="1:9">
      <c r="A222" s="49"/>
      <c r="B222" s="50"/>
      <c r="C222" s="50"/>
      <c r="D222" s="50"/>
      <c r="E222" s="50"/>
      <c r="F222" s="50"/>
      <c r="G222" s="50"/>
      <c r="H222" s="50"/>
      <c r="I222" s="50"/>
    </row>
    <row r="223" spans="1:9">
      <c r="A223" s="49"/>
      <c r="B223" s="50"/>
      <c r="C223" s="50"/>
      <c r="D223" s="50"/>
      <c r="E223" s="50"/>
      <c r="F223" s="50"/>
      <c r="G223" s="50"/>
      <c r="H223" s="50"/>
      <c r="I223" s="50"/>
    </row>
    <row r="224" spans="1:9">
      <c r="A224" s="49"/>
      <c r="B224" s="50"/>
      <c r="C224" s="50"/>
      <c r="D224" s="50"/>
      <c r="E224" s="50"/>
      <c r="F224" s="50"/>
      <c r="G224" s="50"/>
      <c r="H224" s="50"/>
      <c r="I224" s="50"/>
    </row>
    <row r="225" spans="1:9">
      <c r="A225" s="49"/>
      <c r="B225" s="50"/>
      <c r="C225" s="50"/>
      <c r="D225" s="50"/>
      <c r="E225" s="50"/>
      <c r="F225" s="50"/>
      <c r="G225" s="50"/>
      <c r="H225" s="50"/>
      <c r="I225" s="50"/>
    </row>
    <row r="226" spans="1:9">
      <c r="A226" s="49"/>
      <c r="B226" s="50"/>
      <c r="C226" s="50"/>
      <c r="D226" s="50"/>
      <c r="E226" s="50"/>
      <c r="F226" s="50"/>
      <c r="G226" s="50"/>
      <c r="H226" s="50"/>
      <c r="I226" s="50"/>
    </row>
    <row r="227" spans="1:9">
      <c r="A227" s="49"/>
      <c r="B227" s="50"/>
      <c r="C227" s="50"/>
      <c r="D227" s="50"/>
      <c r="E227" s="50"/>
      <c r="F227" s="50"/>
      <c r="G227" s="50"/>
      <c r="H227" s="50"/>
      <c r="I227" s="50"/>
    </row>
    <row r="228" spans="1:9">
      <c r="A228" s="49"/>
      <c r="B228" s="50"/>
      <c r="C228" s="50"/>
      <c r="D228" s="50"/>
      <c r="E228" s="50"/>
      <c r="F228" s="50"/>
      <c r="G228" s="50"/>
      <c r="H228" s="50"/>
      <c r="I228" s="50"/>
    </row>
    <row r="229" spans="1:9">
      <c r="A229" s="49"/>
      <c r="B229" s="50"/>
      <c r="C229" s="50"/>
      <c r="D229" s="50"/>
      <c r="E229" s="50"/>
      <c r="F229" s="50"/>
      <c r="G229" s="50"/>
      <c r="H229" s="50"/>
      <c r="I229" s="50"/>
    </row>
    <row r="230" spans="1:9">
      <c r="A230" s="49"/>
      <c r="B230" s="50"/>
      <c r="C230" s="50"/>
      <c r="D230" s="50"/>
      <c r="E230" s="50"/>
      <c r="F230" s="50"/>
      <c r="G230" s="50"/>
      <c r="H230" s="50"/>
      <c r="I230" s="50"/>
    </row>
    <row r="231" spans="1:9">
      <c r="A231" s="49"/>
      <c r="B231" s="50"/>
      <c r="C231" s="50"/>
      <c r="D231" s="50"/>
      <c r="E231" s="50"/>
      <c r="F231" s="50"/>
      <c r="G231" s="50"/>
      <c r="H231" s="50"/>
      <c r="I231" s="50"/>
    </row>
    <row r="232" spans="1:9">
      <c r="A232" s="49"/>
      <c r="B232" s="50"/>
      <c r="C232" s="50"/>
      <c r="D232" s="50"/>
      <c r="E232" s="50"/>
      <c r="F232" s="50"/>
      <c r="G232" s="50"/>
      <c r="H232" s="50"/>
      <c r="I232" s="50"/>
    </row>
    <row r="233" spans="1:9">
      <c r="A233" s="49"/>
      <c r="B233" s="50"/>
      <c r="C233" s="50"/>
      <c r="D233" s="50"/>
      <c r="E233" s="50"/>
      <c r="F233" s="50"/>
      <c r="G233" s="50"/>
      <c r="H233" s="50"/>
      <c r="I233" s="50"/>
    </row>
    <row r="234" spans="1:9">
      <c r="A234" s="49"/>
      <c r="B234" s="50"/>
      <c r="C234" s="50"/>
      <c r="D234" s="50"/>
      <c r="E234" s="50"/>
      <c r="F234" s="50"/>
      <c r="G234" s="50"/>
      <c r="H234" s="50"/>
      <c r="I234" s="50"/>
    </row>
    <row r="235" spans="1:9">
      <c r="A235" s="49"/>
      <c r="B235" s="50"/>
      <c r="C235" s="50"/>
      <c r="D235" s="50"/>
      <c r="E235" s="50"/>
      <c r="F235" s="50"/>
      <c r="G235" s="50"/>
      <c r="H235" s="50"/>
      <c r="I235" s="50"/>
    </row>
    <row r="236" spans="1:9">
      <c r="A236" s="49"/>
      <c r="B236" s="50"/>
      <c r="C236" s="50"/>
      <c r="D236" s="50"/>
      <c r="E236" s="50"/>
      <c r="F236" s="50"/>
      <c r="G236" s="50"/>
      <c r="H236" s="50"/>
      <c r="I236" s="50"/>
    </row>
    <row r="237" spans="1:9">
      <c r="A237" s="49"/>
      <c r="B237" s="50"/>
      <c r="C237" s="50"/>
      <c r="D237" s="50"/>
      <c r="E237" s="50"/>
      <c r="F237" s="50"/>
      <c r="G237" s="50"/>
      <c r="H237" s="50"/>
      <c r="I237" s="50"/>
    </row>
    <row r="238" spans="1:9">
      <c r="A238" s="49"/>
      <c r="B238" s="50"/>
      <c r="C238" s="50"/>
      <c r="D238" s="50"/>
      <c r="E238" s="50"/>
      <c r="F238" s="50"/>
      <c r="G238" s="50"/>
      <c r="H238" s="50"/>
      <c r="I238" s="50"/>
    </row>
    <row r="239" spans="1:9">
      <c r="A239" s="49"/>
      <c r="B239" s="50"/>
      <c r="C239" s="50"/>
      <c r="D239" s="50"/>
      <c r="E239" s="50"/>
      <c r="F239" s="50"/>
      <c r="G239" s="50"/>
      <c r="H239" s="50"/>
      <c r="I239" s="50"/>
    </row>
    <row r="240" spans="1:9">
      <c r="A240" s="49"/>
      <c r="B240" s="50"/>
      <c r="C240" s="50"/>
      <c r="D240" s="50"/>
      <c r="E240" s="50"/>
      <c r="F240" s="50"/>
      <c r="G240" s="50"/>
      <c r="H240" s="50"/>
      <c r="I240" s="50"/>
    </row>
    <row r="241" spans="1:9">
      <c r="A241" s="49"/>
      <c r="B241" s="50"/>
      <c r="C241" s="50"/>
      <c r="D241" s="50"/>
      <c r="E241" s="50"/>
      <c r="F241" s="50"/>
      <c r="G241" s="50"/>
      <c r="H241" s="50"/>
      <c r="I241" s="50"/>
    </row>
    <row r="242" spans="1:9">
      <c r="A242" s="49"/>
      <c r="B242" s="50"/>
      <c r="C242" s="50"/>
      <c r="D242" s="50"/>
      <c r="E242" s="50"/>
      <c r="F242" s="50"/>
      <c r="G242" s="50"/>
      <c r="H242" s="50"/>
      <c r="I242" s="50"/>
    </row>
    <row r="243" spans="1:9">
      <c r="A243" s="49"/>
      <c r="B243" s="50"/>
      <c r="C243" s="50"/>
      <c r="D243" s="50"/>
      <c r="E243" s="50"/>
      <c r="F243" s="50"/>
      <c r="G243" s="50"/>
      <c r="H243" s="50"/>
      <c r="I243" s="50"/>
    </row>
    <row r="244" spans="1:9">
      <c r="A244" s="49"/>
      <c r="B244" s="50"/>
      <c r="C244" s="50"/>
      <c r="D244" s="50"/>
      <c r="E244" s="50"/>
      <c r="F244" s="50"/>
      <c r="G244" s="50"/>
      <c r="H244" s="50"/>
      <c r="I244" s="50"/>
    </row>
    <row r="245" spans="1:9">
      <c r="A245" s="49"/>
      <c r="B245" s="50"/>
      <c r="C245" s="50"/>
      <c r="D245" s="50"/>
      <c r="E245" s="50"/>
      <c r="F245" s="50"/>
      <c r="G245" s="50"/>
      <c r="H245" s="50"/>
      <c r="I245" s="50"/>
    </row>
    <row r="246" spans="1:9">
      <c r="A246" s="49"/>
      <c r="B246" s="50"/>
      <c r="C246" s="50"/>
      <c r="D246" s="50"/>
      <c r="E246" s="50"/>
      <c r="F246" s="50"/>
      <c r="G246" s="50"/>
      <c r="H246" s="50"/>
      <c r="I246" s="50"/>
    </row>
    <row r="247" spans="1:9">
      <c r="A247" s="49"/>
      <c r="B247" s="50"/>
      <c r="C247" s="50"/>
      <c r="D247" s="50"/>
      <c r="E247" s="50"/>
      <c r="F247" s="50"/>
      <c r="G247" s="50"/>
      <c r="H247" s="50"/>
      <c r="I247" s="50"/>
    </row>
    <row r="248" spans="1:9">
      <c r="A248" s="49"/>
      <c r="B248" s="50"/>
      <c r="C248" s="50"/>
      <c r="D248" s="50"/>
      <c r="E248" s="50"/>
      <c r="F248" s="50"/>
      <c r="G248" s="50"/>
      <c r="H248" s="50"/>
      <c r="I248" s="50"/>
    </row>
    <row r="249" spans="1:9">
      <c r="A249" s="49"/>
      <c r="B249" s="50"/>
      <c r="C249" s="50"/>
      <c r="D249" s="50"/>
      <c r="E249" s="50"/>
      <c r="F249" s="50"/>
      <c r="G249" s="50"/>
      <c r="H249" s="50"/>
      <c r="I249" s="50"/>
    </row>
    <row r="250" spans="1:9">
      <c r="A250" s="49"/>
      <c r="B250" s="50"/>
      <c r="C250" s="50"/>
      <c r="D250" s="50"/>
      <c r="E250" s="50"/>
      <c r="F250" s="50"/>
      <c r="G250" s="50"/>
      <c r="H250" s="50"/>
      <c r="I250" s="50"/>
    </row>
    <row r="251" spans="1:9">
      <c r="A251" s="49"/>
      <c r="B251" s="50"/>
      <c r="C251" s="50"/>
      <c r="D251" s="50"/>
      <c r="E251" s="50"/>
      <c r="F251" s="50"/>
      <c r="G251" s="50"/>
      <c r="H251" s="50"/>
      <c r="I251" s="50"/>
    </row>
    <row r="252" spans="1:9">
      <c r="A252" s="49"/>
      <c r="B252" s="50"/>
      <c r="C252" s="50"/>
      <c r="D252" s="50"/>
      <c r="E252" s="50"/>
      <c r="F252" s="50"/>
      <c r="G252" s="50"/>
      <c r="H252" s="50"/>
      <c r="I252" s="50"/>
    </row>
    <row r="253" spans="1:9">
      <c r="A253" s="49"/>
      <c r="B253" s="50"/>
      <c r="C253" s="50"/>
      <c r="D253" s="50"/>
      <c r="E253" s="50"/>
      <c r="F253" s="50"/>
      <c r="G253" s="50"/>
      <c r="H253" s="50"/>
      <c r="I253" s="50"/>
    </row>
    <row r="254" spans="1:9">
      <c r="A254" s="49"/>
      <c r="B254" s="50"/>
      <c r="C254" s="50"/>
      <c r="D254" s="50"/>
      <c r="E254" s="50"/>
      <c r="F254" s="50"/>
      <c r="G254" s="50"/>
      <c r="H254" s="50"/>
      <c r="I254" s="50"/>
    </row>
    <row r="255" spans="1:9">
      <c r="A255" s="49"/>
      <c r="B255" s="50"/>
      <c r="C255" s="50"/>
      <c r="D255" s="50"/>
      <c r="E255" s="50"/>
      <c r="F255" s="50"/>
      <c r="G255" s="50"/>
      <c r="H255" s="50"/>
      <c r="I255" s="50"/>
    </row>
    <row r="256" spans="1:9">
      <c r="A256" s="49"/>
      <c r="B256" s="50"/>
      <c r="C256" s="50"/>
      <c r="D256" s="50"/>
      <c r="E256" s="50"/>
      <c r="F256" s="50"/>
      <c r="G256" s="50"/>
      <c r="H256" s="50"/>
      <c r="I256" s="50"/>
    </row>
    <row r="257" spans="1:9">
      <c r="A257" s="49"/>
      <c r="B257" s="50"/>
      <c r="C257" s="50"/>
      <c r="D257" s="50"/>
      <c r="E257" s="50"/>
      <c r="F257" s="50"/>
      <c r="G257" s="50"/>
      <c r="H257" s="50"/>
      <c r="I257" s="50"/>
    </row>
    <row r="258" spans="1:9">
      <c r="A258" s="49"/>
      <c r="B258" s="50"/>
      <c r="C258" s="50"/>
      <c r="D258" s="50"/>
      <c r="E258" s="50"/>
      <c r="F258" s="50"/>
      <c r="G258" s="50"/>
      <c r="H258" s="50"/>
      <c r="I258" s="50"/>
    </row>
    <row r="259" spans="1:9">
      <c r="A259" s="49"/>
      <c r="B259" s="50"/>
      <c r="C259" s="50"/>
      <c r="D259" s="50"/>
      <c r="E259" s="50"/>
      <c r="F259" s="50"/>
      <c r="G259" s="50"/>
      <c r="H259" s="50"/>
      <c r="I259" s="50"/>
    </row>
    <row r="260" spans="1:9">
      <c r="A260" s="49"/>
      <c r="B260" s="50"/>
      <c r="C260" s="50"/>
      <c r="D260" s="50"/>
      <c r="E260" s="50"/>
      <c r="F260" s="50"/>
      <c r="G260" s="50"/>
      <c r="H260" s="50"/>
      <c r="I260" s="50"/>
    </row>
    <row r="261" spans="1:9">
      <c r="A261" s="49"/>
      <c r="B261" s="50"/>
      <c r="C261" s="50"/>
      <c r="D261" s="50"/>
      <c r="E261" s="50"/>
      <c r="F261" s="50"/>
      <c r="G261" s="50"/>
      <c r="H261" s="50"/>
      <c r="I261" s="50"/>
    </row>
    <row r="262" spans="1:9">
      <c r="A262" s="49"/>
      <c r="B262" s="50"/>
      <c r="C262" s="50"/>
      <c r="D262" s="50"/>
      <c r="E262" s="50"/>
      <c r="F262" s="50"/>
      <c r="G262" s="50"/>
      <c r="H262" s="50"/>
      <c r="I262" s="50"/>
    </row>
    <row r="263" spans="1:9">
      <c r="A263" s="49"/>
      <c r="B263" s="50"/>
      <c r="C263" s="50"/>
      <c r="D263" s="50"/>
      <c r="E263" s="50"/>
      <c r="F263" s="50"/>
      <c r="G263" s="50"/>
      <c r="H263" s="50"/>
      <c r="I263" s="50"/>
    </row>
    <row r="264" spans="1:9">
      <c r="A264" s="49"/>
      <c r="B264" s="50"/>
      <c r="C264" s="50"/>
      <c r="D264" s="50"/>
      <c r="E264" s="50"/>
      <c r="F264" s="50"/>
      <c r="G264" s="50"/>
      <c r="H264" s="50"/>
      <c r="I264" s="50"/>
    </row>
    <row r="265" spans="1:9">
      <c r="A265" s="49"/>
      <c r="B265" s="50"/>
      <c r="C265" s="50"/>
      <c r="D265" s="50"/>
      <c r="E265" s="50"/>
      <c r="F265" s="50"/>
      <c r="G265" s="50"/>
      <c r="H265" s="50"/>
      <c r="I265" s="50"/>
    </row>
    <row r="266" spans="1:9">
      <c r="A266" s="49"/>
      <c r="B266" s="50"/>
      <c r="C266" s="50"/>
      <c r="D266" s="50"/>
      <c r="E266" s="50"/>
      <c r="F266" s="50"/>
      <c r="G266" s="50"/>
      <c r="H266" s="50"/>
      <c r="I266" s="50"/>
    </row>
    <row r="267" spans="1:9">
      <c r="A267" s="49"/>
      <c r="B267" s="50"/>
      <c r="C267" s="50"/>
      <c r="D267" s="50"/>
      <c r="E267" s="50"/>
      <c r="F267" s="50"/>
      <c r="G267" s="50"/>
      <c r="H267" s="50"/>
      <c r="I267" s="50"/>
    </row>
    <row r="268" spans="1:9">
      <c r="A268" s="49"/>
      <c r="B268" s="50"/>
      <c r="C268" s="50"/>
      <c r="D268" s="50"/>
      <c r="E268" s="50"/>
      <c r="F268" s="50"/>
      <c r="G268" s="50"/>
      <c r="H268" s="50"/>
      <c r="I268" s="50"/>
    </row>
    <row r="269" spans="1:9">
      <c r="A269" s="49"/>
      <c r="B269" s="50"/>
      <c r="C269" s="50"/>
      <c r="D269" s="50"/>
      <c r="E269" s="50"/>
      <c r="F269" s="50"/>
      <c r="G269" s="50"/>
      <c r="H269" s="50"/>
      <c r="I269" s="50"/>
    </row>
    <row r="270" spans="1:9">
      <c r="A270" s="49"/>
      <c r="B270" s="50"/>
      <c r="C270" s="50"/>
      <c r="D270" s="50"/>
      <c r="E270" s="50"/>
      <c r="F270" s="50"/>
      <c r="G270" s="50"/>
      <c r="H270" s="50"/>
      <c r="I270" s="50"/>
    </row>
    <row r="271" spans="1:9">
      <c r="A271" s="49"/>
      <c r="B271" s="50"/>
      <c r="C271" s="50"/>
      <c r="D271" s="50"/>
      <c r="E271" s="50"/>
      <c r="F271" s="50"/>
      <c r="G271" s="50"/>
      <c r="H271" s="50"/>
      <c r="I271" s="50"/>
    </row>
    <row r="272" spans="1:9">
      <c r="A272" s="49"/>
      <c r="B272" s="50"/>
      <c r="C272" s="50"/>
      <c r="D272" s="50"/>
      <c r="E272" s="50"/>
      <c r="F272" s="50"/>
      <c r="G272" s="50"/>
      <c r="H272" s="50"/>
      <c r="I272" s="50"/>
    </row>
    <row r="273" spans="1:9">
      <c r="A273" s="49"/>
      <c r="B273" s="50"/>
      <c r="C273" s="50"/>
      <c r="D273" s="50"/>
      <c r="E273" s="50"/>
      <c r="F273" s="50"/>
      <c r="G273" s="50"/>
      <c r="H273" s="50"/>
      <c r="I273" s="50"/>
    </row>
    <row r="274" spans="1:9">
      <c r="A274" s="49"/>
      <c r="B274" s="50"/>
      <c r="C274" s="50"/>
      <c r="D274" s="50"/>
      <c r="E274" s="50"/>
      <c r="F274" s="50"/>
      <c r="G274" s="50"/>
      <c r="H274" s="50"/>
      <c r="I274" s="50"/>
    </row>
    <row r="275" spans="1:9">
      <c r="A275" s="49"/>
      <c r="B275" s="50"/>
      <c r="C275" s="50"/>
      <c r="D275" s="50"/>
      <c r="E275" s="50"/>
      <c r="F275" s="50"/>
      <c r="G275" s="50"/>
      <c r="H275" s="50"/>
      <c r="I275" s="50"/>
    </row>
    <row r="276" spans="1:9">
      <c r="A276" s="49"/>
      <c r="B276" s="50"/>
      <c r="C276" s="50"/>
      <c r="D276" s="50"/>
      <c r="E276" s="50"/>
      <c r="F276" s="50"/>
      <c r="G276" s="50"/>
      <c r="H276" s="50"/>
      <c r="I276" s="50"/>
    </row>
    <row r="277" spans="1:9">
      <c r="A277" s="49"/>
      <c r="B277" s="50"/>
      <c r="C277" s="50"/>
      <c r="D277" s="50"/>
      <c r="E277" s="50"/>
      <c r="F277" s="50"/>
      <c r="G277" s="50"/>
      <c r="H277" s="50"/>
      <c r="I277" s="50"/>
    </row>
    <row r="278" spans="1:9">
      <c r="A278" s="49"/>
      <c r="B278" s="50"/>
      <c r="C278" s="50"/>
      <c r="D278" s="50"/>
      <c r="E278" s="50"/>
      <c r="F278" s="50"/>
      <c r="G278" s="50"/>
      <c r="H278" s="50"/>
      <c r="I278" s="50"/>
    </row>
    <row r="279" spans="1:9">
      <c r="A279" s="49"/>
      <c r="B279" s="50"/>
      <c r="C279" s="50"/>
      <c r="D279" s="50"/>
      <c r="E279" s="50"/>
      <c r="F279" s="50"/>
      <c r="G279" s="50"/>
      <c r="H279" s="50"/>
      <c r="I279" s="50"/>
    </row>
    <row r="280" spans="1:9">
      <c r="A280" s="49"/>
      <c r="B280" s="50"/>
      <c r="C280" s="50"/>
      <c r="D280" s="50"/>
      <c r="E280" s="50"/>
      <c r="F280" s="50"/>
      <c r="G280" s="50"/>
      <c r="H280" s="50"/>
      <c r="I280" s="50"/>
    </row>
    <row r="281" spans="1:9">
      <c r="A281" s="49"/>
      <c r="B281" s="50"/>
      <c r="C281" s="50"/>
      <c r="D281" s="50"/>
      <c r="E281" s="50"/>
      <c r="F281" s="50"/>
      <c r="G281" s="50"/>
      <c r="H281" s="50"/>
      <c r="I281" s="50"/>
    </row>
    <row r="282" spans="1:9">
      <c r="A282" s="49"/>
      <c r="B282" s="50"/>
      <c r="C282" s="50"/>
      <c r="D282" s="50"/>
      <c r="E282" s="50"/>
      <c r="F282" s="50"/>
      <c r="G282" s="50"/>
      <c r="H282" s="50"/>
      <c r="I282" s="50"/>
    </row>
    <row r="283" spans="1:9">
      <c r="A283" s="49"/>
      <c r="B283" s="50"/>
      <c r="C283" s="50"/>
      <c r="D283" s="50"/>
      <c r="E283" s="50"/>
      <c r="F283" s="50"/>
      <c r="G283" s="50"/>
      <c r="H283" s="50"/>
      <c r="I283" s="50"/>
    </row>
    <row r="284" spans="1:9">
      <c r="A284" s="49"/>
      <c r="B284" s="50"/>
      <c r="C284" s="50"/>
      <c r="D284" s="50"/>
      <c r="E284" s="50"/>
      <c r="F284" s="50"/>
      <c r="G284" s="50"/>
      <c r="H284" s="50"/>
      <c r="I284" s="50"/>
    </row>
    <row r="285" spans="1:9">
      <c r="A285" s="49"/>
      <c r="B285" s="50"/>
      <c r="C285" s="50"/>
      <c r="D285" s="50"/>
      <c r="E285" s="50"/>
      <c r="F285" s="50"/>
      <c r="G285" s="50"/>
      <c r="H285" s="50"/>
      <c r="I285" s="50"/>
    </row>
    <row r="286" spans="1:9">
      <c r="A286" s="49"/>
      <c r="B286" s="50"/>
      <c r="C286" s="50"/>
      <c r="D286" s="50"/>
      <c r="E286" s="50"/>
      <c r="F286" s="50"/>
      <c r="G286" s="50"/>
      <c r="H286" s="50"/>
      <c r="I286" s="50"/>
    </row>
    <row r="287" spans="1:9">
      <c r="A287" s="49"/>
      <c r="B287" s="50"/>
      <c r="C287" s="50"/>
      <c r="D287" s="50"/>
      <c r="E287" s="50"/>
      <c r="F287" s="50"/>
      <c r="G287" s="50"/>
      <c r="H287" s="50"/>
      <c r="I287" s="50"/>
    </row>
    <row r="288" spans="1:9">
      <c r="A288" s="49"/>
      <c r="B288" s="50"/>
      <c r="C288" s="50"/>
      <c r="D288" s="50"/>
      <c r="E288" s="50"/>
      <c r="F288" s="50"/>
      <c r="G288" s="50"/>
      <c r="H288" s="50"/>
      <c r="I288" s="50"/>
    </row>
    <row r="289" spans="1:9">
      <c r="A289" s="49"/>
      <c r="B289" s="50"/>
      <c r="C289" s="50"/>
      <c r="D289" s="50"/>
      <c r="E289" s="50"/>
      <c r="F289" s="50"/>
      <c r="G289" s="50"/>
      <c r="H289" s="50"/>
      <c r="I289" s="50"/>
    </row>
    <row r="290" spans="1:9">
      <c r="A290" s="49"/>
      <c r="B290" s="50"/>
      <c r="C290" s="50"/>
      <c r="D290" s="50"/>
      <c r="E290" s="50"/>
      <c r="F290" s="50"/>
      <c r="G290" s="50"/>
      <c r="H290" s="50"/>
      <c r="I290" s="50"/>
    </row>
    <row r="291" spans="1:9">
      <c r="A291" s="49"/>
      <c r="B291" s="50"/>
      <c r="C291" s="50"/>
      <c r="D291" s="50"/>
      <c r="E291" s="50"/>
      <c r="F291" s="50"/>
      <c r="G291" s="50"/>
      <c r="H291" s="50"/>
      <c r="I291" s="50"/>
    </row>
    <row r="292" spans="1:9">
      <c r="A292" s="49"/>
      <c r="B292" s="50"/>
      <c r="C292" s="50"/>
      <c r="D292" s="50"/>
      <c r="E292" s="50"/>
      <c r="F292" s="50"/>
      <c r="G292" s="50"/>
      <c r="H292" s="50"/>
      <c r="I292" s="50"/>
    </row>
    <row r="293" spans="1:9">
      <c r="A293" s="49"/>
      <c r="B293" s="50"/>
      <c r="C293" s="50"/>
      <c r="D293" s="50"/>
      <c r="E293" s="50"/>
      <c r="F293" s="50"/>
      <c r="G293" s="50"/>
      <c r="H293" s="50"/>
      <c r="I293" s="50"/>
    </row>
    <row r="294" spans="1:9">
      <c r="A294" s="49"/>
      <c r="B294" s="50"/>
      <c r="C294" s="50"/>
      <c r="D294" s="50"/>
      <c r="E294" s="50"/>
      <c r="F294" s="50"/>
      <c r="G294" s="50"/>
      <c r="H294" s="50"/>
      <c r="I294" s="50"/>
    </row>
    <row r="295" spans="1:9">
      <c r="A295" s="49"/>
      <c r="B295" s="50"/>
      <c r="C295" s="50"/>
      <c r="D295" s="50"/>
      <c r="E295" s="50"/>
      <c r="F295" s="50"/>
      <c r="G295" s="50"/>
      <c r="H295" s="50"/>
      <c r="I295" s="50"/>
    </row>
    <row r="296" spans="1:9">
      <c r="A296" s="49"/>
      <c r="B296" s="50"/>
      <c r="C296" s="50"/>
      <c r="D296" s="50"/>
      <c r="E296" s="50"/>
      <c r="F296" s="50"/>
      <c r="G296" s="50"/>
      <c r="H296" s="50"/>
      <c r="I296" s="50"/>
    </row>
    <row r="297" spans="1:9">
      <c r="A297" s="49"/>
      <c r="B297" s="50"/>
      <c r="C297" s="50"/>
      <c r="D297" s="50"/>
      <c r="E297" s="50"/>
      <c r="F297" s="50"/>
      <c r="G297" s="50"/>
      <c r="H297" s="50"/>
      <c r="I297" s="50"/>
    </row>
    <row r="298" spans="1:9">
      <c r="A298" s="49"/>
      <c r="B298" s="50"/>
      <c r="C298" s="50"/>
      <c r="D298" s="50"/>
      <c r="E298" s="50"/>
      <c r="F298" s="50"/>
      <c r="G298" s="50"/>
      <c r="H298" s="50"/>
      <c r="I298" s="50"/>
    </row>
    <row r="299" spans="1:9">
      <c r="A299" s="49"/>
      <c r="B299" s="50"/>
      <c r="C299" s="50"/>
      <c r="D299" s="50"/>
      <c r="E299" s="50"/>
      <c r="F299" s="50"/>
      <c r="G299" s="50"/>
      <c r="H299" s="50"/>
      <c r="I299" s="50"/>
    </row>
    <row r="300" spans="1:9">
      <c r="A300" s="49"/>
      <c r="B300" s="50"/>
      <c r="C300" s="50"/>
      <c r="D300" s="50"/>
      <c r="E300" s="50"/>
      <c r="F300" s="50"/>
      <c r="G300" s="50"/>
      <c r="H300" s="50"/>
      <c r="I300" s="50"/>
    </row>
    <row r="301" spans="1:9">
      <c r="A301" s="49"/>
      <c r="B301" s="50"/>
      <c r="C301" s="50"/>
      <c r="D301" s="50"/>
      <c r="E301" s="50"/>
      <c r="F301" s="50"/>
      <c r="G301" s="50"/>
      <c r="H301" s="50"/>
      <c r="I301" s="50"/>
    </row>
    <row r="302" spans="1:9">
      <c r="A302" s="49"/>
      <c r="B302" s="50"/>
      <c r="C302" s="50"/>
      <c r="D302" s="50"/>
      <c r="E302" s="50"/>
      <c r="F302" s="50"/>
      <c r="G302" s="50"/>
      <c r="H302" s="50"/>
      <c r="I302" s="50"/>
    </row>
    <row r="303" spans="1:9">
      <c r="A303" s="49"/>
      <c r="B303" s="50"/>
      <c r="C303" s="50"/>
      <c r="D303" s="50"/>
      <c r="E303" s="50"/>
      <c r="F303" s="50"/>
      <c r="G303" s="50"/>
      <c r="H303" s="50"/>
      <c r="I303" s="50"/>
    </row>
    <row r="304" spans="1:9">
      <c r="A304" s="49"/>
      <c r="B304" s="50"/>
      <c r="C304" s="50"/>
      <c r="D304" s="50"/>
      <c r="E304" s="50"/>
      <c r="F304" s="50"/>
      <c r="G304" s="50"/>
      <c r="H304" s="50"/>
      <c r="I304" s="50"/>
    </row>
    <row r="305" spans="1:9">
      <c r="A305" s="49"/>
      <c r="B305" s="50"/>
      <c r="C305" s="50"/>
      <c r="D305" s="50"/>
      <c r="E305" s="50"/>
      <c r="F305" s="50"/>
      <c r="G305" s="50"/>
      <c r="H305" s="50"/>
      <c r="I305" s="50"/>
    </row>
    <row r="306" spans="1:9">
      <c r="A306" s="49"/>
      <c r="B306" s="50"/>
      <c r="C306" s="50"/>
      <c r="D306" s="50"/>
      <c r="E306" s="50"/>
      <c r="F306" s="50"/>
      <c r="G306" s="50"/>
      <c r="H306" s="50"/>
      <c r="I306" s="50"/>
    </row>
    <row r="307" spans="1:9">
      <c r="A307" s="49"/>
      <c r="B307" s="50"/>
      <c r="C307" s="50"/>
      <c r="D307" s="50"/>
      <c r="E307" s="50"/>
      <c r="F307" s="50"/>
      <c r="G307" s="50"/>
      <c r="H307" s="50"/>
      <c r="I307" s="50"/>
    </row>
    <row r="308" spans="1:9">
      <c r="A308" s="49"/>
      <c r="B308" s="50"/>
      <c r="C308" s="50"/>
      <c r="D308" s="50"/>
      <c r="E308" s="50"/>
      <c r="F308" s="50"/>
      <c r="G308" s="50"/>
      <c r="H308" s="50"/>
      <c r="I308" s="50"/>
    </row>
    <row r="309" spans="1:9">
      <c r="A309" s="49"/>
      <c r="B309" s="50"/>
      <c r="C309" s="50"/>
      <c r="D309" s="50"/>
      <c r="E309" s="50"/>
      <c r="F309" s="50"/>
      <c r="G309" s="50"/>
      <c r="H309" s="50"/>
      <c r="I309" s="50"/>
    </row>
    <row r="310" spans="1:9">
      <c r="A310" s="49"/>
      <c r="B310" s="50"/>
      <c r="C310" s="50"/>
      <c r="D310" s="50"/>
      <c r="E310" s="50"/>
      <c r="F310" s="50"/>
      <c r="G310" s="50"/>
      <c r="H310" s="50"/>
      <c r="I310" s="50"/>
    </row>
    <row r="311" spans="1:9">
      <c r="A311" s="49"/>
      <c r="B311" s="50"/>
      <c r="C311" s="50"/>
      <c r="D311" s="50"/>
      <c r="E311" s="50"/>
      <c r="F311" s="50"/>
      <c r="G311" s="50"/>
      <c r="H311" s="50"/>
      <c r="I311" s="50"/>
    </row>
    <row r="312" spans="1:9">
      <c r="A312" s="49"/>
      <c r="B312" s="50"/>
      <c r="C312" s="50"/>
      <c r="D312" s="50"/>
      <c r="E312" s="50"/>
      <c r="F312" s="50"/>
      <c r="G312" s="50"/>
      <c r="H312" s="50"/>
      <c r="I312" s="50"/>
    </row>
    <row r="313" spans="1:9">
      <c r="A313" s="49"/>
      <c r="B313" s="50"/>
      <c r="C313" s="50"/>
      <c r="D313" s="50"/>
      <c r="E313" s="50"/>
      <c r="F313" s="50"/>
      <c r="G313" s="50"/>
      <c r="H313" s="50"/>
      <c r="I313" s="50"/>
    </row>
    <row r="314" spans="1:9">
      <c r="A314" s="49"/>
      <c r="B314" s="50"/>
      <c r="C314" s="50"/>
      <c r="D314" s="50"/>
      <c r="E314" s="50"/>
      <c r="F314" s="50"/>
      <c r="G314" s="50"/>
      <c r="H314" s="50"/>
      <c r="I314" s="50"/>
    </row>
    <row r="315" spans="1:9">
      <c r="A315" s="49"/>
      <c r="B315" s="50"/>
      <c r="C315" s="50"/>
      <c r="D315" s="50"/>
      <c r="E315" s="50"/>
      <c r="F315" s="50"/>
      <c r="G315" s="50"/>
      <c r="H315" s="50"/>
      <c r="I315" s="50"/>
    </row>
    <row r="316" spans="1:9">
      <c r="A316" s="49"/>
      <c r="B316" s="50"/>
      <c r="C316" s="50"/>
      <c r="D316" s="50"/>
      <c r="E316" s="50"/>
      <c r="F316" s="50"/>
      <c r="G316" s="50"/>
      <c r="H316" s="50"/>
      <c r="I316" s="50"/>
    </row>
    <row r="317" spans="1:9">
      <c r="A317" s="49"/>
      <c r="B317" s="50"/>
      <c r="C317" s="50"/>
      <c r="D317" s="50"/>
      <c r="E317" s="50"/>
      <c r="F317" s="50"/>
      <c r="G317" s="50"/>
      <c r="H317" s="50"/>
      <c r="I317" s="50"/>
    </row>
    <row r="318" spans="1:9">
      <c r="A318" s="49"/>
      <c r="B318" s="50"/>
      <c r="C318" s="50"/>
      <c r="D318" s="50"/>
      <c r="E318" s="50"/>
      <c r="F318" s="50"/>
      <c r="G318" s="50"/>
      <c r="H318" s="50"/>
      <c r="I318" s="50"/>
    </row>
    <row r="319" spans="1:9">
      <c r="A319" s="49"/>
      <c r="B319" s="50"/>
      <c r="C319" s="50"/>
      <c r="D319" s="50"/>
      <c r="E319" s="50"/>
      <c r="F319" s="50"/>
      <c r="G319" s="50"/>
      <c r="H319" s="50"/>
      <c r="I319" s="50"/>
    </row>
    <row r="320" spans="1:9">
      <c r="A320" s="49"/>
      <c r="B320" s="50"/>
      <c r="C320" s="50"/>
      <c r="D320" s="50"/>
      <c r="E320" s="50"/>
      <c r="F320" s="50"/>
      <c r="G320" s="50"/>
      <c r="H320" s="50"/>
      <c r="I320" s="50"/>
    </row>
    <row r="321" spans="1:9">
      <c r="A321" s="49"/>
      <c r="B321" s="50"/>
      <c r="C321" s="50"/>
      <c r="D321" s="50"/>
      <c r="E321" s="50"/>
      <c r="F321" s="50"/>
      <c r="G321" s="50"/>
      <c r="H321" s="50"/>
      <c r="I321" s="50"/>
    </row>
    <row r="322" spans="1:9">
      <c r="A322" s="49"/>
      <c r="B322" s="50"/>
      <c r="C322" s="50"/>
      <c r="D322" s="50"/>
      <c r="E322" s="50"/>
      <c r="F322" s="50"/>
      <c r="G322" s="50"/>
      <c r="H322" s="50"/>
      <c r="I322" s="50"/>
    </row>
    <row r="323" spans="1:9">
      <c r="A323" s="49"/>
      <c r="B323" s="50"/>
      <c r="C323" s="50"/>
      <c r="D323" s="50"/>
      <c r="E323" s="50"/>
      <c r="F323" s="50"/>
      <c r="G323" s="50"/>
      <c r="H323" s="50"/>
      <c r="I323" s="50"/>
    </row>
    <row r="324" spans="1:9">
      <c r="A324" s="49"/>
      <c r="B324" s="50"/>
      <c r="C324" s="50"/>
      <c r="D324" s="50"/>
      <c r="E324" s="50"/>
      <c r="F324" s="50"/>
      <c r="G324" s="50"/>
      <c r="H324" s="50"/>
      <c r="I324" s="50"/>
    </row>
    <row r="325" spans="1:9">
      <c r="A325" s="49"/>
      <c r="B325" s="50"/>
      <c r="C325" s="50"/>
      <c r="D325" s="50"/>
      <c r="E325" s="50"/>
      <c r="F325" s="50"/>
      <c r="G325" s="50"/>
      <c r="H325" s="50"/>
      <c r="I325" s="50"/>
    </row>
    <row r="326" spans="1:9">
      <c r="A326" s="49"/>
      <c r="B326" s="50"/>
      <c r="C326" s="50"/>
      <c r="D326" s="50"/>
      <c r="E326" s="50"/>
      <c r="F326" s="50"/>
      <c r="G326" s="50"/>
      <c r="H326" s="50"/>
      <c r="I326" s="50"/>
    </row>
    <row r="327" spans="1:9">
      <c r="A327" s="49"/>
      <c r="B327" s="50"/>
      <c r="C327" s="50"/>
      <c r="D327" s="50"/>
      <c r="E327" s="50"/>
      <c r="F327" s="50"/>
      <c r="G327" s="50"/>
      <c r="H327" s="50"/>
      <c r="I327" s="50"/>
    </row>
    <row r="328" spans="1:9">
      <c r="A328" s="49"/>
      <c r="B328" s="50"/>
      <c r="C328" s="50"/>
      <c r="D328" s="50"/>
      <c r="E328" s="50"/>
      <c r="F328" s="50"/>
      <c r="G328" s="50"/>
      <c r="H328" s="50"/>
      <c r="I328" s="50"/>
    </row>
    <row r="329" spans="1:9">
      <c r="A329" s="49"/>
      <c r="B329" s="50"/>
      <c r="C329" s="50"/>
      <c r="D329" s="50"/>
      <c r="E329" s="50"/>
      <c r="F329" s="50"/>
      <c r="G329" s="50"/>
      <c r="H329" s="50"/>
      <c r="I329" s="50"/>
    </row>
    <row r="330" spans="1:9">
      <c r="A330" s="49"/>
      <c r="B330" s="50"/>
      <c r="C330" s="50"/>
      <c r="D330" s="50"/>
      <c r="E330" s="50"/>
      <c r="F330" s="50"/>
      <c r="G330" s="50"/>
      <c r="H330" s="50"/>
      <c r="I330" s="50"/>
    </row>
    <row r="331" spans="1:9">
      <c r="A331" s="49"/>
      <c r="B331" s="50"/>
      <c r="C331" s="50"/>
      <c r="D331" s="50"/>
      <c r="E331" s="50"/>
      <c r="F331" s="50"/>
      <c r="G331" s="50"/>
      <c r="H331" s="50"/>
      <c r="I331" s="50"/>
    </row>
    <row r="332" spans="1:9">
      <c r="A332" s="49"/>
      <c r="B332" s="50"/>
      <c r="C332" s="50"/>
      <c r="D332" s="50"/>
      <c r="E332" s="50"/>
      <c r="F332" s="50"/>
      <c r="G332" s="50"/>
      <c r="H332" s="50"/>
      <c r="I332" s="50"/>
    </row>
    <row r="333" spans="1:9">
      <c r="A333" s="49"/>
      <c r="B333" s="50"/>
      <c r="C333" s="50"/>
      <c r="D333" s="50"/>
      <c r="E333" s="50"/>
      <c r="F333" s="50"/>
      <c r="G333" s="50"/>
      <c r="H333" s="50"/>
      <c r="I333" s="50"/>
    </row>
    <row r="334" spans="1:9">
      <c r="A334" s="49"/>
      <c r="B334" s="50"/>
      <c r="C334" s="50"/>
      <c r="D334" s="50"/>
      <c r="E334" s="50"/>
      <c r="F334" s="50"/>
      <c r="G334" s="50"/>
      <c r="H334" s="50"/>
      <c r="I334" s="50"/>
    </row>
    <row r="335" spans="1:9">
      <c r="A335" s="49"/>
      <c r="B335" s="50"/>
      <c r="C335" s="50"/>
      <c r="D335" s="50"/>
      <c r="E335" s="50"/>
      <c r="F335" s="50"/>
      <c r="G335" s="50"/>
      <c r="H335" s="50"/>
      <c r="I335" s="50"/>
    </row>
    <row r="336" spans="1:9">
      <c r="A336" s="49"/>
      <c r="B336" s="50"/>
      <c r="C336" s="50"/>
      <c r="D336" s="50"/>
      <c r="E336" s="50"/>
      <c r="F336" s="50"/>
      <c r="G336" s="50"/>
      <c r="H336" s="50"/>
      <c r="I336" s="50"/>
    </row>
    <row r="337" spans="1:9">
      <c r="A337" s="49"/>
      <c r="B337" s="50"/>
      <c r="C337" s="50"/>
      <c r="D337" s="50"/>
      <c r="E337" s="50"/>
      <c r="F337" s="50"/>
      <c r="G337" s="50"/>
      <c r="H337" s="50"/>
      <c r="I337" s="50"/>
    </row>
    <row r="338" spans="1:9">
      <c r="A338" s="49"/>
      <c r="B338" s="50"/>
      <c r="C338" s="50"/>
      <c r="D338" s="50"/>
      <c r="E338" s="50"/>
      <c r="F338" s="50"/>
      <c r="G338" s="50"/>
      <c r="H338" s="50"/>
      <c r="I338" s="50"/>
    </row>
    <row r="339" spans="1:9">
      <c r="A339" s="49"/>
      <c r="B339" s="50"/>
      <c r="C339" s="50"/>
      <c r="D339" s="50"/>
      <c r="E339" s="50"/>
      <c r="F339" s="50"/>
      <c r="G339" s="50"/>
      <c r="H339" s="50"/>
      <c r="I339" s="50"/>
    </row>
    <row r="340" spans="1:9">
      <c r="A340" s="49"/>
      <c r="B340" s="50"/>
      <c r="C340" s="50"/>
      <c r="D340" s="50"/>
      <c r="E340" s="50"/>
      <c r="F340" s="50"/>
      <c r="G340" s="50"/>
      <c r="H340" s="50"/>
      <c r="I340" s="50"/>
    </row>
    <row r="341" spans="1:9">
      <c r="A341" s="49"/>
      <c r="B341" s="50"/>
      <c r="C341" s="50"/>
      <c r="D341" s="50"/>
      <c r="E341" s="50"/>
      <c r="F341" s="50"/>
      <c r="G341" s="50"/>
      <c r="H341" s="50"/>
      <c r="I341" s="50"/>
    </row>
    <row r="342" spans="1:9">
      <c r="A342" s="49"/>
      <c r="B342" s="50"/>
      <c r="C342" s="50"/>
      <c r="D342" s="50"/>
      <c r="E342" s="50"/>
      <c r="F342" s="50"/>
      <c r="G342" s="50"/>
      <c r="H342" s="50"/>
      <c r="I342" s="50"/>
    </row>
    <row r="343" spans="1:9">
      <c r="A343" s="49"/>
      <c r="B343" s="50"/>
      <c r="C343" s="50"/>
      <c r="D343" s="50"/>
      <c r="E343" s="50"/>
      <c r="F343" s="50"/>
      <c r="G343" s="50"/>
      <c r="H343" s="50"/>
      <c r="I343" s="50"/>
    </row>
    <row r="344" spans="1:9">
      <c r="A344" s="49"/>
      <c r="B344" s="50"/>
      <c r="C344" s="50"/>
      <c r="D344" s="50"/>
      <c r="E344" s="50"/>
      <c r="F344" s="50"/>
      <c r="G344" s="50"/>
      <c r="H344" s="50"/>
      <c r="I344" s="50"/>
    </row>
    <row r="345" spans="1:9">
      <c r="A345" s="49"/>
      <c r="B345" s="50"/>
      <c r="C345" s="50"/>
      <c r="D345" s="50"/>
      <c r="E345" s="50"/>
      <c r="F345" s="50"/>
      <c r="G345" s="50"/>
      <c r="H345" s="50"/>
      <c r="I345" s="50"/>
    </row>
    <row r="346" spans="1:9">
      <c r="A346" s="49"/>
      <c r="B346" s="50"/>
      <c r="C346" s="50"/>
      <c r="D346" s="50"/>
      <c r="E346" s="50"/>
      <c r="F346" s="50"/>
      <c r="G346" s="50"/>
      <c r="H346" s="50"/>
      <c r="I346" s="50"/>
    </row>
    <row r="347" spans="1:9">
      <c r="A347" s="49"/>
      <c r="B347" s="50"/>
      <c r="C347" s="50"/>
      <c r="D347" s="50"/>
      <c r="E347" s="50"/>
      <c r="F347" s="50"/>
      <c r="G347" s="50"/>
      <c r="H347" s="50"/>
      <c r="I347" s="50"/>
    </row>
    <row r="348" spans="1:9">
      <c r="A348" s="49"/>
      <c r="B348" s="50"/>
      <c r="C348" s="50"/>
      <c r="D348" s="50"/>
      <c r="E348" s="50"/>
      <c r="F348" s="50"/>
      <c r="G348" s="50"/>
      <c r="H348" s="50"/>
      <c r="I348" s="50"/>
    </row>
    <row r="349" spans="1:9">
      <c r="A349" s="49"/>
      <c r="B349" s="50"/>
      <c r="C349" s="50"/>
      <c r="D349" s="50"/>
      <c r="E349" s="50"/>
      <c r="F349" s="50"/>
      <c r="G349" s="50"/>
      <c r="H349" s="50"/>
      <c r="I349" s="50"/>
    </row>
    <row r="350" spans="1:9">
      <c r="A350" s="49"/>
      <c r="B350" s="50"/>
      <c r="C350" s="50"/>
      <c r="D350" s="50"/>
      <c r="E350" s="50"/>
      <c r="F350" s="50"/>
      <c r="G350" s="50"/>
      <c r="H350" s="50"/>
      <c r="I350" s="50"/>
    </row>
    <row r="351" spans="1:9">
      <c r="A351" s="49"/>
      <c r="B351" s="50"/>
      <c r="C351" s="50"/>
      <c r="D351" s="50"/>
      <c r="E351" s="50"/>
      <c r="F351" s="50"/>
      <c r="G351" s="50"/>
      <c r="H351" s="50"/>
      <c r="I351" s="50"/>
    </row>
    <row r="352" spans="1:9">
      <c r="A352" s="49"/>
      <c r="B352" s="50"/>
      <c r="C352" s="50"/>
      <c r="D352" s="50"/>
      <c r="E352" s="50"/>
      <c r="F352" s="50"/>
      <c r="G352" s="50"/>
      <c r="H352" s="50"/>
      <c r="I352" s="50"/>
    </row>
    <row r="353" spans="1:9">
      <c r="A353" s="49"/>
      <c r="B353" s="50"/>
      <c r="C353" s="50"/>
      <c r="D353" s="50"/>
      <c r="E353" s="50"/>
      <c r="F353" s="50"/>
      <c r="G353" s="50"/>
      <c r="H353" s="50"/>
      <c r="I353" s="50"/>
    </row>
    <row r="354" spans="1:9">
      <c r="A354" s="49"/>
      <c r="B354" s="50"/>
      <c r="C354" s="50"/>
      <c r="D354" s="50"/>
      <c r="E354" s="50"/>
      <c r="F354" s="50"/>
      <c r="G354" s="50"/>
      <c r="H354" s="50"/>
      <c r="I354" s="50"/>
    </row>
    <row r="355" spans="1:9">
      <c r="A355" s="49"/>
      <c r="B355" s="50"/>
      <c r="C355" s="50"/>
      <c r="D355" s="50"/>
      <c r="E355" s="50"/>
      <c r="F355" s="50"/>
      <c r="G355" s="50"/>
      <c r="H355" s="50"/>
      <c r="I355" s="50"/>
    </row>
    <row r="356" spans="1:9">
      <c r="A356" s="49"/>
      <c r="B356" s="50"/>
      <c r="C356" s="50"/>
      <c r="D356" s="50"/>
      <c r="E356" s="50"/>
      <c r="F356" s="50"/>
      <c r="G356" s="50"/>
      <c r="H356" s="50"/>
      <c r="I356" s="50"/>
    </row>
    <row r="357" spans="1:9">
      <c r="A357" s="49"/>
      <c r="B357" s="50"/>
      <c r="C357" s="50"/>
      <c r="D357" s="50"/>
      <c r="E357" s="50"/>
      <c r="F357" s="50"/>
      <c r="G357" s="50"/>
      <c r="H357" s="50"/>
      <c r="I357" s="50"/>
    </row>
    <row r="358" spans="1:9">
      <c r="A358" s="49"/>
      <c r="B358" s="50"/>
      <c r="C358" s="50"/>
      <c r="D358" s="50"/>
      <c r="E358" s="50"/>
      <c r="F358" s="50"/>
      <c r="G358" s="50"/>
      <c r="H358" s="50"/>
      <c r="I358" s="50"/>
    </row>
    <row r="359" spans="1:9">
      <c r="A359" s="49"/>
      <c r="B359" s="50"/>
      <c r="C359" s="50"/>
      <c r="D359" s="50"/>
      <c r="E359" s="50"/>
      <c r="F359" s="50"/>
      <c r="G359" s="50"/>
      <c r="H359" s="50"/>
      <c r="I359" s="50"/>
    </row>
    <row r="360" spans="1:9">
      <c r="A360" s="49"/>
      <c r="B360" s="50"/>
      <c r="C360" s="50"/>
      <c r="D360" s="50"/>
      <c r="E360" s="50"/>
      <c r="F360" s="50"/>
      <c r="G360" s="50"/>
      <c r="H360" s="50"/>
      <c r="I360" s="50"/>
    </row>
    <row r="361" spans="1:9">
      <c r="A361" s="49"/>
      <c r="B361" s="50"/>
      <c r="C361" s="50"/>
      <c r="D361" s="50"/>
      <c r="E361" s="50"/>
      <c r="F361" s="50"/>
      <c r="G361" s="50"/>
      <c r="H361" s="50"/>
      <c r="I361" s="50"/>
    </row>
    <row r="362" spans="1:9">
      <c r="A362" s="49"/>
      <c r="B362" s="50"/>
      <c r="C362" s="50"/>
      <c r="D362" s="50"/>
      <c r="E362" s="50"/>
      <c r="F362" s="50"/>
      <c r="G362" s="50"/>
      <c r="H362" s="50"/>
      <c r="I362" s="50"/>
    </row>
    <row r="363" spans="1:9">
      <c r="A363" s="49"/>
      <c r="B363" s="50"/>
      <c r="C363" s="50"/>
      <c r="D363" s="50"/>
      <c r="E363" s="50"/>
      <c r="F363" s="50"/>
      <c r="G363" s="50"/>
      <c r="H363" s="50"/>
      <c r="I363" s="50"/>
    </row>
    <row r="364" spans="1:9">
      <c r="A364" s="49"/>
      <c r="B364" s="50"/>
      <c r="C364" s="50"/>
      <c r="D364" s="50"/>
      <c r="E364" s="50"/>
      <c r="F364" s="50"/>
      <c r="G364" s="50"/>
      <c r="H364" s="50"/>
      <c r="I364" s="50"/>
    </row>
  </sheetData>
  <mergeCells count="162">
    <mergeCell ref="A158:A164"/>
    <mergeCell ref="D158:D159"/>
    <mergeCell ref="E158:E159"/>
    <mergeCell ref="F158:F159"/>
    <mergeCell ref="G158:G159"/>
    <mergeCell ref="H158:H159"/>
    <mergeCell ref="I158:I159"/>
    <mergeCell ref="A178:I178"/>
    <mergeCell ref="A179:I179"/>
    <mergeCell ref="A172:B172"/>
    <mergeCell ref="A173:I173"/>
    <mergeCell ref="A174:I174"/>
    <mergeCell ref="A175:I175"/>
    <mergeCell ref="A176:I176"/>
    <mergeCell ref="A177:I177"/>
    <mergeCell ref="A165:A171"/>
    <mergeCell ref="D165:D166"/>
    <mergeCell ref="E165:E166"/>
    <mergeCell ref="F165:F166"/>
    <mergeCell ref="G165:G166"/>
    <mergeCell ref="H165:H166"/>
    <mergeCell ref="D144:D145"/>
    <mergeCell ref="E144:E145"/>
    <mergeCell ref="F144:F145"/>
    <mergeCell ref="G144:G145"/>
    <mergeCell ref="H144:H145"/>
    <mergeCell ref="I144:I145"/>
    <mergeCell ref="A137:A157"/>
    <mergeCell ref="D137:D138"/>
    <mergeCell ref="E137:E138"/>
    <mergeCell ref="F137:F138"/>
    <mergeCell ref="G137:G138"/>
    <mergeCell ref="H137:H138"/>
    <mergeCell ref="D151:D152"/>
    <mergeCell ref="E151:E152"/>
    <mergeCell ref="F151:F152"/>
    <mergeCell ref="G151:G152"/>
    <mergeCell ref="H151:H152"/>
    <mergeCell ref="I151:I152"/>
    <mergeCell ref="H116:H117"/>
    <mergeCell ref="I116:I117"/>
    <mergeCell ref="D123:D124"/>
    <mergeCell ref="E123:E124"/>
    <mergeCell ref="F123:F124"/>
    <mergeCell ref="G123:G124"/>
    <mergeCell ref="H123:H124"/>
    <mergeCell ref="I123:I124"/>
    <mergeCell ref="I137:I138"/>
    <mergeCell ref="H88:H89"/>
    <mergeCell ref="I102:I103"/>
    <mergeCell ref="D109:D110"/>
    <mergeCell ref="E109:E110"/>
    <mergeCell ref="F109:F110"/>
    <mergeCell ref="G109:G110"/>
    <mergeCell ref="H109:H110"/>
    <mergeCell ref="I109:I110"/>
    <mergeCell ref="A102:A136"/>
    <mergeCell ref="D102:D103"/>
    <mergeCell ref="E102:E103"/>
    <mergeCell ref="F102:F103"/>
    <mergeCell ref="G102:G103"/>
    <mergeCell ref="H102:H103"/>
    <mergeCell ref="D116:D117"/>
    <mergeCell ref="E116:E117"/>
    <mergeCell ref="F116:F117"/>
    <mergeCell ref="G116:G117"/>
    <mergeCell ref="D130:D131"/>
    <mergeCell ref="E130:E131"/>
    <mergeCell ref="F130:F131"/>
    <mergeCell ref="G130:G131"/>
    <mergeCell ref="H130:H131"/>
    <mergeCell ref="I130:I131"/>
    <mergeCell ref="A74:A101"/>
    <mergeCell ref="D74:D75"/>
    <mergeCell ref="E74:E75"/>
    <mergeCell ref="F74:F75"/>
    <mergeCell ref="G74:G75"/>
    <mergeCell ref="H74:H75"/>
    <mergeCell ref="I74:I75"/>
    <mergeCell ref="D81:D82"/>
    <mergeCell ref="I88:I89"/>
    <mergeCell ref="D95:D96"/>
    <mergeCell ref="E95:E96"/>
    <mergeCell ref="F95:F96"/>
    <mergeCell ref="G95:G96"/>
    <mergeCell ref="H95:H96"/>
    <mergeCell ref="I95:I96"/>
    <mergeCell ref="E81:E82"/>
    <mergeCell ref="F81:F82"/>
    <mergeCell ref="G81:G82"/>
    <mergeCell ref="H81:H82"/>
    <mergeCell ref="I81:I82"/>
    <mergeCell ref="D88:D89"/>
    <mergeCell ref="E88:E89"/>
    <mergeCell ref="F88:F89"/>
    <mergeCell ref="G88:G89"/>
    <mergeCell ref="I53:I54"/>
    <mergeCell ref="D60:D61"/>
    <mergeCell ref="E60:E61"/>
    <mergeCell ref="F60:F61"/>
    <mergeCell ref="G60:G61"/>
    <mergeCell ref="H60:H61"/>
    <mergeCell ref="I60:I61"/>
    <mergeCell ref="A53:A73"/>
    <mergeCell ref="D53:D54"/>
    <mergeCell ref="E53:E54"/>
    <mergeCell ref="F53:F54"/>
    <mergeCell ref="G53:G54"/>
    <mergeCell ref="H53:H54"/>
    <mergeCell ref="D67:D68"/>
    <mergeCell ref="E67:E68"/>
    <mergeCell ref="F67:F68"/>
    <mergeCell ref="G67:G68"/>
    <mergeCell ref="H67:H68"/>
    <mergeCell ref="I67:I68"/>
    <mergeCell ref="I46:I47"/>
    <mergeCell ref="H32:H33"/>
    <mergeCell ref="I32:I33"/>
    <mergeCell ref="D39:D40"/>
    <mergeCell ref="E39:E40"/>
    <mergeCell ref="F39:F40"/>
    <mergeCell ref="G39:G40"/>
    <mergeCell ref="H39:H40"/>
    <mergeCell ref="I39:I40"/>
    <mergeCell ref="E25:E26"/>
    <mergeCell ref="F25:F26"/>
    <mergeCell ref="G25:G26"/>
    <mergeCell ref="H25:H26"/>
    <mergeCell ref="A32:A52"/>
    <mergeCell ref="D32:D33"/>
    <mergeCell ref="E32:E33"/>
    <mergeCell ref="F32:F33"/>
    <mergeCell ref="G32:G33"/>
    <mergeCell ref="D46:D47"/>
    <mergeCell ref="E46:E47"/>
    <mergeCell ref="F46:F47"/>
    <mergeCell ref="G46:G47"/>
    <mergeCell ref="H46:H47"/>
    <mergeCell ref="A2:A3"/>
    <mergeCell ref="B2:B3"/>
    <mergeCell ref="C2:H2"/>
    <mergeCell ref="I2:I3"/>
    <mergeCell ref="C3:H3"/>
    <mergeCell ref="A4:A31"/>
    <mergeCell ref="D4:D5"/>
    <mergeCell ref="E4:E5"/>
    <mergeCell ref="F4:F5"/>
    <mergeCell ref="G4:G5"/>
    <mergeCell ref="I12:I13"/>
    <mergeCell ref="I14:I15"/>
    <mergeCell ref="D18:D19"/>
    <mergeCell ref="E18:E19"/>
    <mergeCell ref="F18:F19"/>
    <mergeCell ref="G18:G19"/>
    <mergeCell ref="H18:H19"/>
    <mergeCell ref="H4:H5"/>
    <mergeCell ref="D11:D12"/>
    <mergeCell ref="E11:E12"/>
    <mergeCell ref="F11:F12"/>
    <mergeCell ref="G11:G12"/>
    <mergeCell ref="H11:H12"/>
    <mergeCell ref="D25:D26"/>
  </mergeCells>
  <phoneticPr fontId="3" type="noConversion"/>
  <pageMargins left="0.27559055118110237" right="0.19685039370078741" top="1.0236220472440944" bottom="0.55118110236220474" header="0.51181102362204722" footer="0.31496062992125984"/>
  <pageSetup paperSize="9" scale="71" orientation="portrait" r:id="rId1"/>
  <headerFooter alignWithMargins="0">
    <oddFooter>第 &amp;P 頁，共 &amp;N 頁</oddFooter>
  </headerFooter>
  <rowBreaks count="3" manualBreakCount="3">
    <brk id="52" max="8" man="1"/>
    <brk id="101" max="8" man="1"/>
    <brk id="157"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3</vt:i4>
      </vt:variant>
    </vt:vector>
  </HeadingPairs>
  <TitlesOfParts>
    <vt:vector size="4" baseType="lpstr">
      <vt:lpstr>臺南市00區影響其他用地區域因素評價基準明細表(104草案) </vt:lpstr>
      <vt:lpstr>'臺南市00區影響其他用地區域因素評價基準明細表(104草案) '!_Hlk320279254</vt:lpstr>
      <vt:lpstr>'臺南市00區影響其他用地區域因素評價基準明細表(104草案) '!Print_Area</vt:lpstr>
      <vt:lpstr>'臺南市00區影響其他用地區域因素評價基準明細表(104草案) '!Print_Titles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windows7</dc:creator>
  <cp:lastModifiedBy>admin</cp:lastModifiedBy>
  <cp:lastPrinted>2015-04-09T11:34:17Z</cp:lastPrinted>
  <dcterms:created xsi:type="dcterms:W3CDTF">2015-03-31T06:15:12Z</dcterms:created>
  <dcterms:modified xsi:type="dcterms:W3CDTF">2015-04-16T08:31:42Z</dcterms:modified>
</cp:coreProperties>
</file>