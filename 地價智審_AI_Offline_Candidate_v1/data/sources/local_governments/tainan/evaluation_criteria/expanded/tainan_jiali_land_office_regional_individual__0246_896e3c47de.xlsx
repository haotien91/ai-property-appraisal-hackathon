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農業用地" sheetId="6" r:id="rId1"/>
  </sheets>
  <definedNames>
    <definedName name="_Hlk320279254" localSheetId="0">農業用地!$C$14</definedName>
    <definedName name="OLE_LINK3" localSheetId="0">農業用地!#REF!</definedName>
    <definedName name="OLE_LINK4" localSheetId="0">農業用地!$I$33</definedName>
    <definedName name="OLE_LINK5" localSheetId="0">農業用地!$I$40</definedName>
    <definedName name="_xlnm.Print_Titles" localSheetId="0">農業用地!$1:$2</definedName>
  </definedNames>
  <calcPr calcId="145621"/>
</workbook>
</file>

<file path=xl/calcChain.xml><?xml version="1.0" encoding="utf-8"?>
<calcChain xmlns="http://schemas.openxmlformats.org/spreadsheetml/2006/main">
  <c r="D43" i="6" l="1"/>
  <c r="E42" i="6"/>
  <c r="H53" i="6"/>
  <c r="G52" i="6"/>
  <c r="G53" i="6" s="1"/>
  <c r="F51" i="6"/>
  <c r="F52" i="6" s="1"/>
  <c r="F53" i="6" s="1"/>
  <c r="F50" i="6"/>
  <c r="G50" i="6" s="1"/>
  <c r="H50" i="6" s="1"/>
  <c r="E50" i="6"/>
  <c r="E51" i="6" s="1"/>
  <c r="E52" i="6" s="1"/>
  <c r="E53" i="6" s="1"/>
  <c r="D50" i="6"/>
  <c r="D51" i="6" s="1"/>
  <c r="D52" i="6" s="1"/>
  <c r="D53" i="6" s="1"/>
  <c r="E49" i="6"/>
  <c r="F49" i="6" s="1"/>
  <c r="G49" i="6" s="1"/>
  <c r="H49" i="6" s="1"/>
  <c r="H144" i="6"/>
  <c r="G143" i="6"/>
  <c r="H143" i="6" s="1"/>
  <c r="F142" i="6"/>
  <c r="F143" i="6" s="1"/>
  <c r="F144" i="6" s="1"/>
  <c r="E142" i="6"/>
  <c r="E143" i="6" s="1"/>
  <c r="E144" i="6" s="1"/>
  <c r="E141" i="6"/>
  <c r="D141" i="6"/>
  <c r="D142" i="6" s="1"/>
  <c r="D143" i="6" s="1"/>
  <c r="D144" i="6" s="1"/>
  <c r="E140" i="6"/>
  <c r="F140" i="6" s="1"/>
  <c r="F114" i="6"/>
  <c r="E113" i="6"/>
  <c r="E114" i="6" s="1"/>
  <c r="D113" i="6"/>
  <c r="D114" i="6" s="1"/>
  <c r="E112" i="6"/>
  <c r="F112" i="6" s="1"/>
  <c r="F113" i="6" s="1"/>
  <c r="H102" i="6"/>
  <c r="G101" i="6"/>
  <c r="G102" i="6" s="1"/>
  <c r="F100" i="6"/>
  <c r="F101" i="6" s="1"/>
  <c r="F102" i="6" s="1"/>
  <c r="E99" i="6"/>
  <c r="E100" i="6" s="1"/>
  <c r="E101" i="6" s="1"/>
  <c r="E102" i="6" s="1"/>
  <c r="D99" i="6"/>
  <c r="D100" i="6" s="1"/>
  <c r="D101" i="6" s="1"/>
  <c r="D102" i="6" s="1"/>
  <c r="E98" i="6"/>
  <c r="F98" i="6" s="1"/>
  <c r="H88" i="6"/>
  <c r="G87" i="6"/>
  <c r="G88" i="6" s="1"/>
  <c r="F86" i="6"/>
  <c r="F87" i="6" s="1"/>
  <c r="F88" i="6" s="1"/>
  <c r="E85" i="6"/>
  <c r="E86" i="6" s="1"/>
  <c r="E87" i="6" s="1"/>
  <c r="E88" i="6" s="1"/>
  <c r="D85" i="6"/>
  <c r="D86" i="6" s="1"/>
  <c r="D87" i="6" s="1"/>
  <c r="D88" i="6" s="1"/>
  <c r="E84" i="6"/>
  <c r="F84" i="6" s="1"/>
  <c r="H74" i="6"/>
  <c r="G73" i="6"/>
  <c r="G74" i="6" s="1"/>
  <c r="F72" i="6"/>
  <c r="F73" i="6" s="1"/>
  <c r="F74" i="6" s="1"/>
  <c r="E71" i="6"/>
  <c r="E72" i="6" s="1"/>
  <c r="E73" i="6" s="1"/>
  <c r="E74" i="6" s="1"/>
  <c r="D71" i="6"/>
  <c r="D72" i="6" s="1"/>
  <c r="D73" i="6" s="1"/>
  <c r="D74" i="6" s="1"/>
  <c r="E70" i="6"/>
  <c r="F70" i="6" s="1"/>
  <c r="F58" i="6"/>
  <c r="E57" i="6"/>
  <c r="F57" i="6" s="1"/>
  <c r="D57" i="6"/>
  <c r="D58" i="6" s="1"/>
  <c r="E56" i="6"/>
  <c r="F56" i="6" s="1"/>
  <c r="E43" i="6"/>
  <c r="F37" i="6"/>
  <c r="E36" i="6"/>
  <c r="E37" i="6" s="1"/>
  <c r="D36" i="6"/>
  <c r="D37" i="6" s="1"/>
  <c r="E35" i="6"/>
  <c r="F35" i="6" s="1"/>
  <c r="F36" i="6" s="1"/>
  <c r="E29" i="6"/>
  <c r="D29" i="6"/>
  <c r="E28" i="6"/>
  <c r="F23" i="6"/>
  <c r="E22" i="6"/>
  <c r="E23" i="6" s="1"/>
  <c r="D22" i="6"/>
  <c r="D23" i="6" s="1"/>
  <c r="E21" i="6"/>
  <c r="F21" i="6" s="1"/>
  <c r="F22" i="6" s="1"/>
  <c r="F16" i="6"/>
  <c r="E15" i="6"/>
  <c r="E16" i="6" s="1"/>
  <c r="D15" i="6"/>
  <c r="D16" i="6" s="1"/>
  <c r="E14" i="6"/>
  <c r="F14" i="6" s="1"/>
  <c r="F15" i="6" s="1"/>
  <c r="F9" i="6"/>
  <c r="E9" i="6"/>
  <c r="E8" i="6"/>
  <c r="D8" i="6"/>
  <c r="D9" i="6" s="1"/>
  <c r="E7" i="6"/>
  <c r="F7" i="6" s="1"/>
  <c r="F8" i="6" s="1"/>
  <c r="G144" i="6" l="1"/>
  <c r="H52" i="6"/>
  <c r="G51" i="6"/>
  <c r="H51" i="6" s="1"/>
  <c r="F71" i="6"/>
  <c r="G70" i="6"/>
  <c r="F141" i="6"/>
  <c r="G140" i="6"/>
  <c r="F99" i="6"/>
  <c r="G98" i="6"/>
  <c r="F85" i="6"/>
  <c r="G84" i="6"/>
  <c r="E58" i="6"/>
  <c r="G99" i="6" l="1"/>
  <c r="G100" i="6" s="1"/>
  <c r="H98" i="6"/>
  <c r="H99" i="6" s="1"/>
  <c r="H100" i="6" s="1"/>
  <c r="H101" i="6" s="1"/>
  <c r="G71" i="6"/>
  <c r="G72" i="6" s="1"/>
  <c r="H70" i="6"/>
  <c r="H71" i="6" s="1"/>
  <c r="H72" i="6" s="1"/>
  <c r="H73" i="6" s="1"/>
  <c r="G85" i="6"/>
  <c r="G86" i="6" s="1"/>
  <c r="H84" i="6"/>
  <c r="H85" i="6" s="1"/>
  <c r="H86" i="6" s="1"/>
  <c r="H87" i="6" s="1"/>
  <c r="G141" i="6"/>
  <c r="H140" i="6"/>
  <c r="G142" i="6" l="1"/>
  <c r="H142" i="6" s="1"/>
  <c r="H141" i="6"/>
</calcChain>
</file>

<file path=xl/sharedStrings.xml><?xml version="1.0" encoding="utf-8"?>
<sst xmlns="http://schemas.openxmlformats.org/spreadsheetml/2006/main" count="536" uniqueCount="145">
  <si>
    <t>主要項目</t>
  </si>
  <si>
    <t>細項</t>
  </si>
  <si>
    <t>價    格    修    正    率</t>
  </si>
  <si>
    <t>（百  分  比）</t>
  </si>
  <si>
    <t>備          註</t>
  </si>
  <si>
    <t>宗地條件</t>
  </si>
  <si>
    <t>優</t>
  </si>
  <si>
    <t>稍優</t>
  </si>
  <si>
    <t>普通</t>
  </si>
  <si>
    <t>稍劣</t>
  </si>
  <si>
    <t>劣</t>
  </si>
  <si>
    <t>劣：非臨街地</t>
  </si>
  <si>
    <t>優：平坦</t>
  </si>
  <si>
    <t>道路條件</t>
  </si>
  <si>
    <t>優：主要道路</t>
  </si>
  <si>
    <t>以該宗地實際出入道路路寬（W）</t>
  </si>
  <si>
    <t>接近條件</t>
  </si>
  <si>
    <t>周邊環境條件</t>
  </si>
  <si>
    <t>行政條件</t>
  </si>
  <si>
    <t>其他</t>
  </si>
  <si>
    <t>依比準地與宗地之其他影響地價因素差異程度來衡量</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</si>
  <si>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</si>
  <si>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</si>
  <si>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</si>
  <si>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</si>
  <si>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宗地</t>
    <phoneticPr fontId="4" type="noConversion"/>
  </si>
  <si>
    <t>比準地</t>
    <phoneticPr fontId="4" type="noConversion"/>
  </si>
  <si>
    <t>積</t>
  </si>
  <si>
    <t>面</t>
    <phoneticPr fontId="4" type="noConversion"/>
  </si>
  <si>
    <t>度</t>
    <phoneticPr fontId="4" type="noConversion"/>
  </si>
  <si>
    <t>寬</t>
    <phoneticPr fontId="4" type="noConversion"/>
  </si>
  <si>
    <t>形</t>
  </si>
  <si>
    <t>情</t>
    <phoneticPr fontId="4" type="noConversion"/>
  </si>
  <si>
    <t>街</t>
    <phoneticPr fontId="4" type="noConversion"/>
  </si>
  <si>
    <t>種</t>
    <phoneticPr fontId="4" type="noConversion"/>
  </si>
  <si>
    <t>類</t>
    <phoneticPr fontId="4" type="noConversion"/>
  </si>
  <si>
    <t>車</t>
    <phoneticPr fontId="4" type="noConversion"/>
  </si>
  <si>
    <t>接</t>
    <phoneticPr fontId="4" type="noConversion"/>
  </si>
  <si>
    <t>近</t>
    <phoneticPr fontId="4" type="noConversion"/>
  </si>
  <si>
    <t>之</t>
    <phoneticPr fontId="4" type="noConversion"/>
  </si>
  <si>
    <t>程度</t>
    <phoneticPr fontId="4" type="noConversion"/>
  </si>
  <si>
    <t>停</t>
    <phoneticPr fontId="4" type="noConversion"/>
  </si>
  <si>
    <t>方</t>
    <phoneticPr fontId="4" type="noConversion"/>
  </si>
  <si>
    <t>便</t>
    <phoneticPr fontId="4" type="noConversion"/>
  </si>
  <si>
    <t>性</t>
    <phoneticPr fontId="4" type="noConversion"/>
  </si>
  <si>
    <t>深</t>
    <phoneticPr fontId="4" type="noConversion"/>
  </si>
  <si>
    <t>形</t>
    <phoneticPr fontId="4" type="noConversion"/>
  </si>
  <si>
    <t>狀</t>
    <phoneticPr fontId="4" type="noConversion"/>
  </si>
  <si>
    <t>地</t>
    <phoneticPr fontId="4" type="noConversion"/>
  </si>
  <si>
    <t>勢</t>
    <phoneticPr fontId="4" type="noConversion"/>
  </si>
  <si>
    <t>道</t>
    <phoneticPr fontId="4" type="noConversion"/>
  </si>
  <si>
    <t>路</t>
    <phoneticPr fontId="4" type="noConversion"/>
  </si>
  <si>
    <t>前</t>
    <phoneticPr fontId="4" type="noConversion"/>
  </si>
  <si>
    <t>學</t>
    <phoneticPr fontId="4" type="noConversion"/>
  </si>
  <si>
    <t>校</t>
    <phoneticPr fontId="4" type="noConversion"/>
  </si>
  <si>
    <t>市</t>
    <phoneticPr fontId="4" type="noConversion"/>
  </si>
  <si>
    <t>場</t>
    <phoneticPr fontId="4" type="noConversion"/>
  </si>
  <si>
    <t>接近</t>
    <phoneticPr fontId="4" type="noConversion"/>
  </si>
  <si>
    <t>公園</t>
    <phoneticPr fontId="4" type="noConversion"/>
  </si>
  <si>
    <t>、</t>
    <phoneticPr fontId="4" type="noConversion"/>
  </si>
  <si>
    <t>廣場</t>
    <phoneticPr fontId="4" type="noConversion"/>
  </si>
  <si>
    <t>站</t>
    <phoneticPr fontId="4" type="noConversion"/>
  </si>
  <si>
    <t>商</t>
    <phoneticPr fontId="4" type="noConversion"/>
  </si>
  <si>
    <t>圈</t>
    <phoneticPr fontId="4" type="noConversion"/>
  </si>
  <si>
    <t>嫌</t>
    <phoneticPr fontId="4" type="noConversion"/>
  </si>
  <si>
    <t>惡</t>
    <phoneticPr fontId="4" type="noConversion"/>
  </si>
  <si>
    <t>設</t>
    <phoneticPr fontId="4" type="noConversion"/>
  </si>
  <si>
    <t>施</t>
    <phoneticPr fontId="4" type="noConversion"/>
  </si>
  <si>
    <t>使用</t>
    <phoneticPr fontId="4" type="noConversion"/>
  </si>
  <si>
    <t>分區</t>
    <phoneticPr fontId="4" type="noConversion"/>
  </si>
  <si>
    <t>或</t>
    <phoneticPr fontId="4" type="noConversion"/>
  </si>
  <si>
    <t>編定</t>
    <phoneticPr fontId="4" type="noConversion"/>
  </si>
  <si>
    <t>用地</t>
    <phoneticPr fontId="4" type="noConversion"/>
  </si>
  <si>
    <t>建</t>
    <phoneticPr fontId="4" type="noConversion"/>
  </si>
  <si>
    <t>蔽</t>
    <phoneticPr fontId="4" type="noConversion"/>
  </si>
  <si>
    <t>率</t>
    <phoneticPr fontId="4" type="noConversion"/>
  </si>
  <si>
    <t>容</t>
    <phoneticPr fontId="4" type="noConversion"/>
  </si>
  <si>
    <t>積</t>
    <phoneticPr fontId="4" type="noConversion"/>
  </si>
  <si>
    <t>有</t>
    <phoneticPr fontId="4" type="noConversion"/>
  </si>
  <si>
    <t>無</t>
    <phoneticPr fontId="4" type="noConversion"/>
  </si>
  <si>
    <t>禁</t>
    <phoneticPr fontId="4" type="noConversion"/>
  </si>
  <si>
    <t>限</t>
    <phoneticPr fontId="4" type="noConversion"/>
  </si>
  <si>
    <t>優</t>
    <phoneticPr fontId="4" type="noConversion"/>
  </si>
  <si>
    <t>行政條件</t>
    <phoneticPr fontId="4" type="noConversion"/>
  </si>
  <si>
    <t>以該宗地最接近市場之距離（D）衡量。</t>
    <phoneticPr fontId="4" type="noConversion"/>
  </si>
  <si>
    <t>劣</t>
    <phoneticPr fontId="4" type="noConversion"/>
  </si>
  <si>
    <t>普通</t>
    <phoneticPr fontId="4" type="noConversion"/>
  </si>
  <si>
    <t>面積：A</t>
    <phoneticPr fontId="4" type="noConversion"/>
  </si>
  <si>
    <t>寬度：W</t>
    <phoneticPr fontId="4" type="noConversion"/>
  </si>
  <si>
    <t>深度：D</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</si>
  <si>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</si>
  <si>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以該宗地接近嫌惡設施之距離（D）衡量。</t>
    <phoneticPr fontId="4" type="noConversion"/>
  </si>
  <si>
    <t>優：40m≦W</t>
    <phoneticPr fontId="4" type="noConversion"/>
  </si>
  <si>
    <t>-</t>
    <phoneticPr fontId="4" type="noConversion"/>
  </si>
  <si>
    <t>度</t>
    <phoneticPr fontId="4" type="noConversion"/>
  </si>
  <si>
    <t>程</t>
    <phoneticPr fontId="4" type="noConversion"/>
  </si>
  <si>
    <t>優：4000m≦D</t>
    <phoneticPr fontId="4" type="noConversion"/>
  </si>
  <si>
    <t xml:space="preserve">稍優：3000m≦D＜4000m </t>
    <phoneticPr fontId="4" type="noConversion"/>
  </si>
  <si>
    <t xml:space="preserve">普通：2000m≦D＜3000m </t>
    <phoneticPr fontId="4" type="noConversion"/>
  </si>
  <si>
    <t>稍劣：1000m≦D＜2000m</t>
    <phoneticPr fontId="4" type="noConversion"/>
  </si>
  <si>
    <t>劣：D＜1000m</t>
    <phoneticPr fontId="4" type="noConversion"/>
  </si>
  <si>
    <t>稍優：次要道路</t>
  </si>
  <si>
    <t>普通：巷道</t>
  </si>
  <si>
    <t>稍劣：農路</t>
  </si>
  <si>
    <t>劣：無</t>
  </si>
  <si>
    <t>三、最大影響範圍(%)為「-」者，該項不予考慮調整。</t>
    <phoneticPr fontId="4" type="noConversion"/>
  </si>
  <si>
    <t>二、如特殊狀況之個案，得敘明理由以不大於本基準明細表價格修正率進行調整或免予考慮部分細項。</t>
    <phoneticPr fontId="4" type="noConversion"/>
  </si>
  <si>
    <t>面</t>
    <phoneticPr fontId="4" type="noConversion"/>
  </si>
  <si>
    <t>劣</t>
    <phoneticPr fontId="4" type="noConversion"/>
  </si>
  <si>
    <t>優：5000㎡≦A</t>
    <phoneticPr fontId="4" type="noConversion"/>
  </si>
  <si>
    <t>普通：1000㎡≦A＜5000㎡</t>
    <phoneticPr fontId="4" type="noConversion"/>
  </si>
  <si>
    <t>劣：A＜1000㎡</t>
    <phoneticPr fontId="4" type="noConversion"/>
  </si>
  <si>
    <t>比準地</t>
    <phoneticPr fontId="4" type="noConversion"/>
  </si>
  <si>
    <t>度</t>
    <phoneticPr fontId="4" type="noConversion"/>
  </si>
  <si>
    <t>普通：10m≦W＜40m</t>
    <phoneticPr fontId="4" type="noConversion"/>
  </si>
  <si>
    <t>劣：W＜10m</t>
    <phoneticPr fontId="4" type="noConversion"/>
  </si>
  <si>
    <t>普通</t>
    <phoneticPr fontId="4" type="noConversion"/>
  </si>
  <si>
    <t>度</t>
    <phoneticPr fontId="4" type="noConversion"/>
  </si>
  <si>
    <t>優：150m≦D</t>
    <phoneticPr fontId="4" type="noConversion"/>
  </si>
  <si>
    <t>普通：25m≦D＜150m</t>
    <phoneticPr fontId="4" type="noConversion"/>
  </si>
  <si>
    <t>劣：D＜25m</t>
    <phoneticPr fontId="4" type="noConversion"/>
  </si>
  <si>
    <t>劣</t>
    <phoneticPr fontId="4" type="noConversion"/>
  </si>
  <si>
    <t>優：方形（包括正方形、長方形、近似方形、近似長方形）</t>
    <phoneticPr fontId="4" type="noConversion"/>
  </si>
  <si>
    <t>劣：不規則形且可利用度低者</t>
    <phoneticPr fontId="4" type="noConversion"/>
  </si>
  <si>
    <t>臨</t>
    <phoneticPr fontId="4" type="noConversion"/>
  </si>
  <si>
    <t>優：路角地或二面臨街以上</t>
    <phoneticPr fontId="4" type="noConversion"/>
  </si>
  <si>
    <t>普通：單面臨街地</t>
    <phoneticPr fontId="4" type="noConversion"/>
  </si>
  <si>
    <t>優：12m≦W</t>
    <phoneticPr fontId="4" type="noConversion"/>
  </si>
  <si>
    <t>普通：4m≦W＜12m</t>
    <phoneticPr fontId="4" type="noConversion"/>
  </si>
  <si>
    <t>劣：W＜4m</t>
    <phoneticPr fontId="4" type="noConversion"/>
  </si>
  <si>
    <t>優：D≦1000m</t>
    <phoneticPr fontId="4" type="noConversion"/>
  </si>
  <si>
    <t>稍優：1000m＜D≦2000m</t>
    <phoneticPr fontId="4" type="noConversion"/>
  </si>
  <si>
    <t>普通：2000m＜D≦3000m</t>
    <phoneticPr fontId="4" type="noConversion"/>
  </si>
  <si>
    <t>稍劣：3000m＜D≦4000m</t>
    <phoneticPr fontId="4" type="noConversion"/>
  </si>
  <si>
    <t>劣：4000m＜D</t>
    <phoneticPr fontId="4" type="noConversion"/>
  </si>
  <si>
    <t>以該宗地最接近車站（含火車、高鐵、捷運及公車站牌等）之距離（D）衡量。</t>
    <phoneticPr fontId="4" type="noConversion"/>
  </si>
  <si>
    <t>優：都市計畫區內農業區</t>
    <phoneticPr fontId="4" type="noConversion"/>
  </si>
  <si>
    <t>普通：特定農業區或一般農業區農牧用地</t>
    <phoneticPr fontId="4" type="noConversion"/>
  </si>
  <si>
    <t>劣：其他可利用度低或附帶條件開發之農業用地</t>
    <phoneticPr fontId="4" type="noConversion"/>
  </si>
  <si>
    <t xml:space="preserve"> 說明：</t>
    <phoneticPr fontId="4" type="noConversion"/>
  </si>
  <si>
    <t>一、農業用地指依其法定用途，為農業使用或類似使用之用地。</t>
    <phoneticPr fontId="4" type="noConversion"/>
  </si>
  <si>
    <t>以自主要出入道路通達該宗地之地勢衡量</t>
    <phoneticPr fontId="4" type="noConversion"/>
  </si>
  <si>
    <t>劣：高亢或低窪</t>
    <phoneticPr fontId="4" type="noConversion"/>
  </si>
  <si>
    <t>台南市政府地政局○○南市地價字第○○號備查</t>
    <phoneticPr fontId="4" type="noConversion"/>
  </si>
  <si>
    <t>臺南市學甲區影響農業用地地價個別因素評價基準明細表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</si>
</sst>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96">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49" fontId="1" fillId="0" borderId="1" xfId="1" applyNumberFormat="1" applyFont="1" applyBorder="1" applyAlignment="1" applyProtection="1">
      <alignment horizontal="center" vertical="center"/>
    </xf>
    <xf numFmtId="49" fontId="1" fillId="0" borderId="2" xfId="1" applyNumberFormat="1" applyFont="1" applyBorder="1" applyAlignment="1" applyProtection="1">
      <alignment horizontal="center" vertical="center"/>
    </xf>
    <xf numFmtId="49" fontId="1" fillId="0" borderId="3" xfId="1" applyNumberFormat="1" applyFont="1" applyBorder="1" applyAlignment="1" applyProtection="1">
      <alignment horizontal="center" vertical="center"/>
    </xf>
    <xf numFmtId="49" fontId="1" fillId="0" borderId="4" xfId="1" applyNumberFormat="1" applyFont="1" applyBorder="1" applyAlignment="1" applyProtection="1">
      <alignment horizontal="center" vertical="center"/>
    </xf>
    <xf numFmtId="0" fontId="2" fillId="0" borderId="10" xfId="0" applyFont="1" applyFill="1" applyBorder="1" applyAlignment="1">
      <alignment horizontal="center"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2" fillId="0" borderId="6" xfId="0" applyFont="1" applyBorder="1" applyAlignment="1">
      <alignment vertical="top"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1" fillId="0" borderId="0" xfId="0" applyFont="1" applyAlignment="1">
      <alignment vertical="center" wrapText="1"/>
    </xf>
    <xf numFmtId="178" fontId="1" fillId="0" borderId="15" xfId="1" applyNumberFormat="1" applyFont="1" applyBorder="1" applyAlignment="1" applyProtection="1">
      <alignment horizontal="center" vertical="center"/>
    </xf>
    <xf numFmtId="0" fontId="1" fillId="0" borderId="6" xfId="0" applyFont="1" applyBorder="1">
      <alignment vertical="center"/>
    </xf>
    <xf numFmtId="0" fontId="5" fillId="0" borderId="0" xfId="0" applyFont="1" applyAlignment="1">
      <alignment horizontal="center" vertical="center"/>
    </xf>
    <xf numFmtId="177" fontId="1" fillId="0" borderId="4" xfId="1" applyNumberFormat="1" applyFont="1" applyBorder="1" applyAlignment="1" applyProtection="1">
      <alignment horizontal="center" vertical="center"/>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178" fontId="0" fillId="0" borderId="1" xfId="1" applyNumberFormat="1" applyFont="1" applyBorder="1" applyAlignment="1" applyProtection="1">
      <alignment horizontal="center" vertical="center"/>
    </xf>
    <xf numFmtId="176" fontId="0" fillId="0" borderId="1" xfId="1" applyNumberFormat="1" applyFont="1" applyBorder="1" applyAlignment="1" applyProtection="1">
      <alignment horizontal="center" vertical="center"/>
    </xf>
    <xf numFmtId="0" fontId="0" fillId="0" borderId="6" xfId="0" applyFont="1" applyBorder="1" applyAlignment="1">
      <alignment vertical="top" wrapText="1"/>
    </xf>
    <xf numFmtId="178" fontId="0" fillId="0" borderId="4" xfId="1" applyNumberFormat="1" applyFont="1" applyBorder="1" applyAlignment="1" applyProtection="1">
      <alignment horizontal="center" vertical="center"/>
    </xf>
    <xf numFmtId="0" fontId="10" fillId="0" borderId="0" xfId="0" applyFont="1" applyAlignment="1" applyProtection="1">
      <alignment horizontal="right" vertical="center"/>
      <protection hidden="1"/>
    </xf>
    <xf numFmtId="0" fontId="9" fillId="0" borderId="0" xfId="0" applyFont="1" applyAlignment="1" applyProtection="1">
      <alignment horizontal="center" vertical="center"/>
      <protection hidden="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5" fillId="0" borderId="30"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5" fillId="0" borderId="29" xfId="0" applyFont="1" applyBorder="1" applyAlignment="1">
      <alignment horizontal="center" vertical="center" textRotation="255"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6" xfId="0" applyFont="1" applyBorder="1" applyAlignment="1">
      <alignment vertical="top" wrapText="1"/>
    </xf>
    <xf numFmtId="0" fontId="5" fillId="0" borderId="27" xfId="0" applyFont="1" applyBorder="1" applyAlignment="1">
      <alignment horizontal="center" vertical="center" textRotation="255"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0" xfId="0" applyFont="1" applyAlignment="1">
      <alignment vertical="center" wrapText="1"/>
    </xf>
    <xf numFmtId="0" fontId="1" fillId="0" borderId="0" xfId="0" applyFont="1" applyAlignment="1">
      <alignment vertical="center" wrapText="1"/>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3"/>
  <sheetViews>
    <sheetView tabSelected="1" view="pageBreakPreview" zoomScaleNormal="100" zoomScaleSheetLayoutView="100" workbookViewId="0">
      <selection sqref="A1:I1"/>
    </sheetView>
  </sheetViews>
  <sheetFormatPr defaultRowHeight="16.5"/>
  <cols>
    <col min="1" max="1" width="5.125" style="1" customWidth="1"/>
    <col min="2" max="2" width="5.5" style="37" customWidth="1"/>
    <col min="3" max="3" width="9" style="37"/>
    <col min="4" max="5" width="6.375" style="37" customWidth="1"/>
    <col min="6" max="8" width="5.75" style="37" customWidth="1"/>
    <col min="9" max="9" width="40.875" style="37" customWidth="1"/>
    <col min="10" max="256" width="9" style="37"/>
    <col min="257" max="257" width="5.125" style="37" customWidth="1"/>
    <col min="258" max="258" width="5.5" style="37" customWidth="1"/>
    <col min="259" max="259" width="9" style="37"/>
    <col min="260" max="261" width="6.375" style="37" customWidth="1"/>
    <col min="262" max="264" width="5.75" style="37" customWidth="1"/>
    <col min="265" max="265" width="40.875" style="37" customWidth="1"/>
    <col min="266" max="512" width="9" style="37"/>
    <col min="513" max="513" width="5.125" style="37" customWidth="1"/>
    <col min="514" max="514" width="5.5" style="37" customWidth="1"/>
    <col min="515" max="515" width="9" style="37"/>
    <col min="516" max="517" width="6.375" style="37" customWidth="1"/>
    <col min="518" max="520" width="5.75" style="37" customWidth="1"/>
    <col min="521" max="521" width="40.875" style="37" customWidth="1"/>
    <col min="522" max="768" width="9" style="37"/>
    <col min="769" max="769" width="5.125" style="37" customWidth="1"/>
    <col min="770" max="770" width="5.5" style="37" customWidth="1"/>
    <col min="771" max="771" width="9" style="37"/>
    <col min="772" max="773" width="6.375" style="37" customWidth="1"/>
    <col min="774" max="776" width="5.75" style="37" customWidth="1"/>
    <col min="777" max="777" width="40.875" style="37" customWidth="1"/>
    <col min="778" max="1024" width="9" style="37"/>
    <col min="1025" max="1025" width="5.125" style="37" customWidth="1"/>
    <col min="1026" max="1026" width="5.5" style="37" customWidth="1"/>
    <col min="1027" max="1027" width="9" style="37"/>
    <col min="1028" max="1029" width="6.375" style="37" customWidth="1"/>
    <col min="1030" max="1032" width="5.75" style="37" customWidth="1"/>
    <col min="1033" max="1033" width="40.875" style="37" customWidth="1"/>
    <col min="1034" max="1280" width="9" style="37"/>
    <col min="1281" max="1281" width="5.125" style="37" customWidth="1"/>
    <col min="1282" max="1282" width="5.5" style="37" customWidth="1"/>
    <col min="1283" max="1283" width="9" style="37"/>
    <col min="1284" max="1285" width="6.375" style="37" customWidth="1"/>
    <col min="1286" max="1288" width="5.75" style="37" customWidth="1"/>
    <col min="1289" max="1289" width="40.875" style="37" customWidth="1"/>
    <col min="1290" max="1536" width="9" style="37"/>
    <col min="1537" max="1537" width="5.125" style="37" customWidth="1"/>
    <col min="1538" max="1538" width="5.5" style="37" customWidth="1"/>
    <col min="1539" max="1539" width="9" style="37"/>
    <col min="1540" max="1541" width="6.375" style="37" customWidth="1"/>
    <col min="1542" max="1544" width="5.75" style="37" customWidth="1"/>
    <col min="1545" max="1545" width="40.875" style="37" customWidth="1"/>
    <col min="1546" max="1792" width="9" style="37"/>
    <col min="1793" max="1793" width="5.125" style="37" customWidth="1"/>
    <col min="1794" max="1794" width="5.5" style="37" customWidth="1"/>
    <col min="1795" max="1795" width="9" style="37"/>
    <col min="1796" max="1797" width="6.375" style="37" customWidth="1"/>
    <col min="1798" max="1800" width="5.75" style="37" customWidth="1"/>
    <col min="1801" max="1801" width="40.875" style="37" customWidth="1"/>
    <col min="1802" max="2048" width="9" style="37"/>
    <col min="2049" max="2049" width="5.125" style="37" customWidth="1"/>
    <col min="2050" max="2050" width="5.5" style="37" customWidth="1"/>
    <col min="2051" max="2051" width="9" style="37"/>
    <col min="2052" max="2053" width="6.375" style="37" customWidth="1"/>
    <col min="2054" max="2056" width="5.75" style="37" customWidth="1"/>
    <col min="2057" max="2057" width="40.875" style="37" customWidth="1"/>
    <col min="2058" max="2304" width="9" style="37"/>
    <col min="2305" max="2305" width="5.125" style="37" customWidth="1"/>
    <col min="2306" max="2306" width="5.5" style="37" customWidth="1"/>
    <col min="2307" max="2307" width="9" style="37"/>
    <col min="2308" max="2309" width="6.375" style="37" customWidth="1"/>
    <col min="2310" max="2312" width="5.75" style="37" customWidth="1"/>
    <col min="2313" max="2313" width="40.875" style="37" customWidth="1"/>
    <col min="2314" max="2560" width="9" style="37"/>
    <col min="2561" max="2561" width="5.125" style="37" customWidth="1"/>
    <col min="2562" max="2562" width="5.5" style="37" customWidth="1"/>
    <col min="2563" max="2563" width="9" style="37"/>
    <col min="2564" max="2565" width="6.375" style="37" customWidth="1"/>
    <col min="2566" max="2568" width="5.75" style="37" customWidth="1"/>
    <col min="2569" max="2569" width="40.875" style="37" customWidth="1"/>
    <col min="2570" max="2816" width="9" style="37"/>
    <col min="2817" max="2817" width="5.125" style="37" customWidth="1"/>
    <col min="2818" max="2818" width="5.5" style="37" customWidth="1"/>
    <col min="2819" max="2819" width="9" style="37"/>
    <col min="2820" max="2821" width="6.375" style="37" customWidth="1"/>
    <col min="2822" max="2824" width="5.75" style="37" customWidth="1"/>
    <col min="2825" max="2825" width="40.875" style="37" customWidth="1"/>
    <col min="2826" max="3072" width="9" style="37"/>
    <col min="3073" max="3073" width="5.125" style="37" customWidth="1"/>
    <col min="3074" max="3074" width="5.5" style="37" customWidth="1"/>
    <col min="3075" max="3075" width="9" style="37"/>
    <col min="3076" max="3077" width="6.375" style="37" customWidth="1"/>
    <col min="3078" max="3080" width="5.75" style="37" customWidth="1"/>
    <col min="3081" max="3081" width="40.875" style="37" customWidth="1"/>
    <col min="3082" max="3328" width="9" style="37"/>
    <col min="3329" max="3329" width="5.125" style="37" customWidth="1"/>
    <col min="3330" max="3330" width="5.5" style="37" customWidth="1"/>
    <col min="3331" max="3331" width="9" style="37"/>
    <col min="3332" max="3333" width="6.375" style="37" customWidth="1"/>
    <col min="3334" max="3336" width="5.75" style="37" customWidth="1"/>
    <col min="3337" max="3337" width="40.875" style="37" customWidth="1"/>
    <col min="3338" max="3584" width="9" style="37"/>
    <col min="3585" max="3585" width="5.125" style="37" customWidth="1"/>
    <col min="3586" max="3586" width="5.5" style="37" customWidth="1"/>
    <col min="3587" max="3587" width="9" style="37"/>
    <col min="3588" max="3589" width="6.375" style="37" customWidth="1"/>
    <col min="3590" max="3592" width="5.75" style="37" customWidth="1"/>
    <col min="3593" max="3593" width="40.875" style="37" customWidth="1"/>
    <col min="3594" max="3840" width="9" style="37"/>
    <col min="3841" max="3841" width="5.125" style="37" customWidth="1"/>
    <col min="3842" max="3842" width="5.5" style="37" customWidth="1"/>
    <col min="3843" max="3843" width="9" style="37"/>
    <col min="3844" max="3845" width="6.375" style="37" customWidth="1"/>
    <col min="3846" max="3848" width="5.75" style="37" customWidth="1"/>
    <col min="3849" max="3849" width="40.875" style="37" customWidth="1"/>
    <col min="3850" max="4096" width="9" style="37"/>
    <col min="4097" max="4097" width="5.125" style="37" customWidth="1"/>
    <col min="4098" max="4098" width="5.5" style="37" customWidth="1"/>
    <col min="4099" max="4099" width="9" style="37"/>
    <col min="4100" max="4101" width="6.375" style="37" customWidth="1"/>
    <col min="4102" max="4104" width="5.75" style="37" customWidth="1"/>
    <col min="4105" max="4105" width="40.875" style="37" customWidth="1"/>
    <col min="4106" max="4352" width="9" style="37"/>
    <col min="4353" max="4353" width="5.125" style="37" customWidth="1"/>
    <col min="4354" max="4354" width="5.5" style="37" customWidth="1"/>
    <col min="4355" max="4355" width="9" style="37"/>
    <col min="4356" max="4357" width="6.375" style="37" customWidth="1"/>
    <col min="4358" max="4360" width="5.75" style="37" customWidth="1"/>
    <col min="4361" max="4361" width="40.875" style="37" customWidth="1"/>
    <col min="4362" max="4608" width="9" style="37"/>
    <col min="4609" max="4609" width="5.125" style="37" customWidth="1"/>
    <col min="4610" max="4610" width="5.5" style="37" customWidth="1"/>
    <col min="4611" max="4611" width="9" style="37"/>
    <col min="4612" max="4613" width="6.375" style="37" customWidth="1"/>
    <col min="4614" max="4616" width="5.75" style="37" customWidth="1"/>
    <col min="4617" max="4617" width="40.875" style="37" customWidth="1"/>
    <col min="4618" max="4864" width="9" style="37"/>
    <col min="4865" max="4865" width="5.125" style="37" customWidth="1"/>
    <col min="4866" max="4866" width="5.5" style="37" customWidth="1"/>
    <col min="4867" max="4867" width="9" style="37"/>
    <col min="4868" max="4869" width="6.375" style="37" customWidth="1"/>
    <col min="4870" max="4872" width="5.75" style="37" customWidth="1"/>
    <col min="4873" max="4873" width="40.875" style="37" customWidth="1"/>
    <col min="4874" max="5120" width="9" style="37"/>
    <col min="5121" max="5121" width="5.125" style="37" customWidth="1"/>
    <col min="5122" max="5122" width="5.5" style="37" customWidth="1"/>
    <col min="5123" max="5123" width="9" style="37"/>
    <col min="5124" max="5125" width="6.375" style="37" customWidth="1"/>
    <col min="5126" max="5128" width="5.75" style="37" customWidth="1"/>
    <col min="5129" max="5129" width="40.875" style="37" customWidth="1"/>
    <col min="5130" max="5376" width="9" style="37"/>
    <col min="5377" max="5377" width="5.125" style="37" customWidth="1"/>
    <col min="5378" max="5378" width="5.5" style="37" customWidth="1"/>
    <col min="5379" max="5379" width="9" style="37"/>
    <col min="5380" max="5381" width="6.375" style="37" customWidth="1"/>
    <col min="5382" max="5384" width="5.75" style="37" customWidth="1"/>
    <col min="5385" max="5385" width="40.875" style="37" customWidth="1"/>
    <col min="5386" max="5632" width="9" style="37"/>
    <col min="5633" max="5633" width="5.125" style="37" customWidth="1"/>
    <col min="5634" max="5634" width="5.5" style="37" customWidth="1"/>
    <col min="5635" max="5635" width="9" style="37"/>
    <col min="5636" max="5637" width="6.375" style="37" customWidth="1"/>
    <col min="5638" max="5640" width="5.75" style="37" customWidth="1"/>
    <col min="5641" max="5641" width="40.875" style="37" customWidth="1"/>
    <col min="5642" max="5888" width="9" style="37"/>
    <col min="5889" max="5889" width="5.125" style="37" customWidth="1"/>
    <col min="5890" max="5890" width="5.5" style="37" customWidth="1"/>
    <col min="5891" max="5891" width="9" style="37"/>
    <col min="5892" max="5893" width="6.375" style="37" customWidth="1"/>
    <col min="5894" max="5896" width="5.75" style="37" customWidth="1"/>
    <col min="5897" max="5897" width="40.875" style="37" customWidth="1"/>
    <col min="5898" max="6144" width="9" style="37"/>
    <col min="6145" max="6145" width="5.125" style="37" customWidth="1"/>
    <col min="6146" max="6146" width="5.5" style="37" customWidth="1"/>
    <col min="6147" max="6147" width="9" style="37"/>
    <col min="6148" max="6149" width="6.375" style="37" customWidth="1"/>
    <col min="6150" max="6152" width="5.75" style="37" customWidth="1"/>
    <col min="6153" max="6153" width="40.875" style="37" customWidth="1"/>
    <col min="6154" max="6400" width="9" style="37"/>
    <col min="6401" max="6401" width="5.125" style="37" customWidth="1"/>
    <col min="6402" max="6402" width="5.5" style="37" customWidth="1"/>
    <col min="6403" max="6403" width="9" style="37"/>
    <col min="6404" max="6405" width="6.375" style="37" customWidth="1"/>
    <col min="6406" max="6408" width="5.75" style="37" customWidth="1"/>
    <col min="6409" max="6409" width="40.875" style="37" customWidth="1"/>
    <col min="6410" max="6656" width="9" style="37"/>
    <col min="6657" max="6657" width="5.125" style="37" customWidth="1"/>
    <col min="6658" max="6658" width="5.5" style="37" customWidth="1"/>
    <col min="6659" max="6659" width="9" style="37"/>
    <col min="6660" max="6661" width="6.375" style="37" customWidth="1"/>
    <col min="6662" max="6664" width="5.75" style="37" customWidth="1"/>
    <col min="6665" max="6665" width="40.875" style="37" customWidth="1"/>
    <col min="6666" max="6912" width="9" style="37"/>
    <col min="6913" max="6913" width="5.125" style="37" customWidth="1"/>
    <col min="6914" max="6914" width="5.5" style="37" customWidth="1"/>
    <col min="6915" max="6915" width="9" style="37"/>
    <col min="6916" max="6917" width="6.375" style="37" customWidth="1"/>
    <col min="6918" max="6920" width="5.75" style="37" customWidth="1"/>
    <col min="6921" max="6921" width="40.875" style="37" customWidth="1"/>
    <col min="6922" max="7168" width="9" style="37"/>
    <col min="7169" max="7169" width="5.125" style="37" customWidth="1"/>
    <col min="7170" max="7170" width="5.5" style="37" customWidth="1"/>
    <col min="7171" max="7171" width="9" style="37"/>
    <col min="7172" max="7173" width="6.375" style="37" customWidth="1"/>
    <col min="7174" max="7176" width="5.75" style="37" customWidth="1"/>
    <col min="7177" max="7177" width="40.875" style="37" customWidth="1"/>
    <col min="7178" max="7424" width="9" style="37"/>
    <col min="7425" max="7425" width="5.125" style="37" customWidth="1"/>
    <col min="7426" max="7426" width="5.5" style="37" customWidth="1"/>
    <col min="7427" max="7427" width="9" style="37"/>
    <col min="7428" max="7429" width="6.375" style="37" customWidth="1"/>
    <col min="7430" max="7432" width="5.75" style="37" customWidth="1"/>
    <col min="7433" max="7433" width="40.875" style="37" customWidth="1"/>
    <col min="7434" max="7680" width="9" style="37"/>
    <col min="7681" max="7681" width="5.125" style="37" customWidth="1"/>
    <col min="7682" max="7682" width="5.5" style="37" customWidth="1"/>
    <col min="7683" max="7683" width="9" style="37"/>
    <col min="7684" max="7685" width="6.375" style="37" customWidth="1"/>
    <col min="7686" max="7688" width="5.75" style="37" customWidth="1"/>
    <col min="7689" max="7689" width="40.875" style="37" customWidth="1"/>
    <col min="7690" max="7936" width="9" style="37"/>
    <col min="7937" max="7937" width="5.125" style="37" customWidth="1"/>
    <col min="7938" max="7938" width="5.5" style="37" customWidth="1"/>
    <col min="7939" max="7939" width="9" style="37"/>
    <col min="7940" max="7941" width="6.375" style="37" customWidth="1"/>
    <col min="7942" max="7944" width="5.75" style="37" customWidth="1"/>
    <col min="7945" max="7945" width="40.875" style="37" customWidth="1"/>
    <col min="7946" max="8192" width="9" style="37"/>
    <col min="8193" max="8193" width="5.125" style="37" customWidth="1"/>
    <col min="8194" max="8194" width="5.5" style="37" customWidth="1"/>
    <col min="8195" max="8195" width="9" style="37"/>
    <col min="8196" max="8197" width="6.375" style="37" customWidth="1"/>
    <col min="8198" max="8200" width="5.75" style="37" customWidth="1"/>
    <col min="8201" max="8201" width="40.875" style="37" customWidth="1"/>
    <col min="8202" max="8448" width="9" style="37"/>
    <col min="8449" max="8449" width="5.125" style="37" customWidth="1"/>
    <col min="8450" max="8450" width="5.5" style="37" customWidth="1"/>
    <col min="8451" max="8451" width="9" style="37"/>
    <col min="8452" max="8453" width="6.375" style="37" customWidth="1"/>
    <col min="8454" max="8456" width="5.75" style="37" customWidth="1"/>
    <col min="8457" max="8457" width="40.875" style="37" customWidth="1"/>
    <col min="8458" max="8704" width="9" style="37"/>
    <col min="8705" max="8705" width="5.125" style="37" customWidth="1"/>
    <col min="8706" max="8706" width="5.5" style="37" customWidth="1"/>
    <col min="8707" max="8707" width="9" style="37"/>
    <col min="8708" max="8709" width="6.375" style="37" customWidth="1"/>
    <col min="8710" max="8712" width="5.75" style="37" customWidth="1"/>
    <col min="8713" max="8713" width="40.875" style="37" customWidth="1"/>
    <col min="8714" max="8960" width="9" style="37"/>
    <col min="8961" max="8961" width="5.125" style="37" customWidth="1"/>
    <col min="8962" max="8962" width="5.5" style="37" customWidth="1"/>
    <col min="8963" max="8963" width="9" style="37"/>
    <col min="8964" max="8965" width="6.375" style="37" customWidth="1"/>
    <col min="8966" max="8968" width="5.75" style="37" customWidth="1"/>
    <col min="8969" max="8969" width="40.875" style="37" customWidth="1"/>
    <col min="8970" max="9216" width="9" style="37"/>
    <col min="9217" max="9217" width="5.125" style="37" customWidth="1"/>
    <col min="9218" max="9218" width="5.5" style="37" customWidth="1"/>
    <col min="9219" max="9219" width="9" style="37"/>
    <col min="9220" max="9221" width="6.375" style="37" customWidth="1"/>
    <col min="9222" max="9224" width="5.75" style="37" customWidth="1"/>
    <col min="9225" max="9225" width="40.875" style="37" customWidth="1"/>
    <col min="9226" max="9472" width="9" style="37"/>
    <col min="9473" max="9473" width="5.125" style="37" customWidth="1"/>
    <col min="9474" max="9474" width="5.5" style="37" customWidth="1"/>
    <col min="9475" max="9475" width="9" style="37"/>
    <col min="9476" max="9477" width="6.375" style="37" customWidth="1"/>
    <col min="9478" max="9480" width="5.75" style="37" customWidth="1"/>
    <col min="9481" max="9481" width="40.875" style="37" customWidth="1"/>
    <col min="9482" max="9728" width="9" style="37"/>
    <col min="9729" max="9729" width="5.125" style="37" customWidth="1"/>
    <col min="9730" max="9730" width="5.5" style="37" customWidth="1"/>
    <col min="9731" max="9731" width="9" style="37"/>
    <col min="9732" max="9733" width="6.375" style="37" customWidth="1"/>
    <col min="9734" max="9736" width="5.75" style="37" customWidth="1"/>
    <col min="9737" max="9737" width="40.875" style="37" customWidth="1"/>
    <col min="9738" max="9984" width="9" style="37"/>
    <col min="9985" max="9985" width="5.125" style="37" customWidth="1"/>
    <col min="9986" max="9986" width="5.5" style="37" customWidth="1"/>
    <col min="9987" max="9987" width="9" style="37"/>
    <col min="9988" max="9989" width="6.375" style="37" customWidth="1"/>
    <col min="9990" max="9992" width="5.75" style="37" customWidth="1"/>
    <col min="9993" max="9993" width="40.875" style="37" customWidth="1"/>
    <col min="9994" max="10240" width="9" style="37"/>
    <col min="10241" max="10241" width="5.125" style="37" customWidth="1"/>
    <col min="10242" max="10242" width="5.5" style="37" customWidth="1"/>
    <col min="10243" max="10243" width="9" style="37"/>
    <col min="10244" max="10245" width="6.375" style="37" customWidth="1"/>
    <col min="10246" max="10248" width="5.75" style="37" customWidth="1"/>
    <col min="10249" max="10249" width="40.875" style="37" customWidth="1"/>
    <col min="10250" max="10496" width="9" style="37"/>
    <col min="10497" max="10497" width="5.125" style="37" customWidth="1"/>
    <col min="10498" max="10498" width="5.5" style="37" customWidth="1"/>
    <col min="10499" max="10499" width="9" style="37"/>
    <col min="10500" max="10501" width="6.375" style="37" customWidth="1"/>
    <col min="10502" max="10504" width="5.75" style="37" customWidth="1"/>
    <col min="10505" max="10505" width="40.875" style="37" customWidth="1"/>
    <col min="10506" max="10752" width="9" style="37"/>
    <col min="10753" max="10753" width="5.125" style="37" customWidth="1"/>
    <col min="10754" max="10754" width="5.5" style="37" customWidth="1"/>
    <col min="10755" max="10755" width="9" style="37"/>
    <col min="10756" max="10757" width="6.375" style="37" customWidth="1"/>
    <col min="10758" max="10760" width="5.75" style="37" customWidth="1"/>
    <col min="10761" max="10761" width="40.875" style="37" customWidth="1"/>
    <col min="10762" max="11008" width="9" style="37"/>
    <col min="11009" max="11009" width="5.125" style="37" customWidth="1"/>
    <col min="11010" max="11010" width="5.5" style="37" customWidth="1"/>
    <col min="11011" max="11011" width="9" style="37"/>
    <col min="11012" max="11013" width="6.375" style="37" customWidth="1"/>
    <col min="11014" max="11016" width="5.75" style="37" customWidth="1"/>
    <col min="11017" max="11017" width="40.875" style="37" customWidth="1"/>
    <col min="11018" max="11264" width="9" style="37"/>
    <col min="11265" max="11265" width="5.125" style="37" customWidth="1"/>
    <col min="11266" max="11266" width="5.5" style="37" customWidth="1"/>
    <col min="11267" max="11267" width="9" style="37"/>
    <col min="11268" max="11269" width="6.375" style="37" customWidth="1"/>
    <col min="11270" max="11272" width="5.75" style="37" customWidth="1"/>
    <col min="11273" max="11273" width="40.875" style="37" customWidth="1"/>
    <col min="11274" max="11520" width="9" style="37"/>
    <col min="11521" max="11521" width="5.125" style="37" customWidth="1"/>
    <col min="11522" max="11522" width="5.5" style="37" customWidth="1"/>
    <col min="11523" max="11523" width="9" style="37"/>
    <col min="11524" max="11525" width="6.375" style="37" customWidth="1"/>
    <col min="11526" max="11528" width="5.75" style="37" customWidth="1"/>
    <col min="11529" max="11529" width="40.875" style="37" customWidth="1"/>
    <col min="11530" max="11776" width="9" style="37"/>
    <col min="11777" max="11777" width="5.125" style="37" customWidth="1"/>
    <col min="11778" max="11778" width="5.5" style="37" customWidth="1"/>
    <col min="11779" max="11779" width="9" style="37"/>
    <col min="11780" max="11781" width="6.375" style="37" customWidth="1"/>
    <col min="11782" max="11784" width="5.75" style="37" customWidth="1"/>
    <col min="11785" max="11785" width="40.875" style="37" customWidth="1"/>
    <col min="11786" max="12032" width="9" style="37"/>
    <col min="12033" max="12033" width="5.125" style="37" customWidth="1"/>
    <col min="12034" max="12034" width="5.5" style="37" customWidth="1"/>
    <col min="12035" max="12035" width="9" style="37"/>
    <col min="12036" max="12037" width="6.375" style="37" customWidth="1"/>
    <col min="12038" max="12040" width="5.75" style="37" customWidth="1"/>
    <col min="12041" max="12041" width="40.875" style="37" customWidth="1"/>
    <col min="12042" max="12288" width="9" style="37"/>
    <col min="12289" max="12289" width="5.125" style="37" customWidth="1"/>
    <col min="12290" max="12290" width="5.5" style="37" customWidth="1"/>
    <col min="12291" max="12291" width="9" style="37"/>
    <col min="12292" max="12293" width="6.375" style="37" customWidth="1"/>
    <col min="12294" max="12296" width="5.75" style="37" customWidth="1"/>
    <col min="12297" max="12297" width="40.875" style="37" customWidth="1"/>
    <col min="12298" max="12544" width="9" style="37"/>
    <col min="12545" max="12545" width="5.125" style="37" customWidth="1"/>
    <col min="12546" max="12546" width="5.5" style="37" customWidth="1"/>
    <col min="12547" max="12547" width="9" style="37"/>
    <col min="12548" max="12549" width="6.375" style="37" customWidth="1"/>
    <col min="12550" max="12552" width="5.75" style="37" customWidth="1"/>
    <col min="12553" max="12553" width="40.875" style="37" customWidth="1"/>
    <col min="12554" max="12800" width="9" style="37"/>
    <col min="12801" max="12801" width="5.125" style="37" customWidth="1"/>
    <col min="12802" max="12802" width="5.5" style="37" customWidth="1"/>
    <col min="12803" max="12803" width="9" style="37"/>
    <col min="12804" max="12805" width="6.375" style="37" customWidth="1"/>
    <col min="12806" max="12808" width="5.75" style="37" customWidth="1"/>
    <col min="12809" max="12809" width="40.875" style="37" customWidth="1"/>
    <col min="12810" max="13056" width="9" style="37"/>
    <col min="13057" max="13057" width="5.125" style="37" customWidth="1"/>
    <col min="13058" max="13058" width="5.5" style="37" customWidth="1"/>
    <col min="13059" max="13059" width="9" style="37"/>
    <col min="13060" max="13061" width="6.375" style="37" customWidth="1"/>
    <col min="13062" max="13064" width="5.75" style="37" customWidth="1"/>
    <col min="13065" max="13065" width="40.875" style="37" customWidth="1"/>
    <col min="13066" max="13312" width="9" style="37"/>
    <col min="13313" max="13313" width="5.125" style="37" customWidth="1"/>
    <col min="13314" max="13314" width="5.5" style="37" customWidth="1"/>
    <col min="13315" max="13315" width="9" style="37"/>
    <col min="13316" max="13317" width="6.375" style="37" customWidth="1"/>
    <col min="13318" max="13320" width="5.75" style="37" customWidth="1"/>
    <col min="13321" max="13321" width="40.875" style="37" customWidth="1"/>
    <col min="13322" max="13568" width="9" style="37"/>
    <col min="13569" max="13569" width="5.125" style="37" customWidth="1"/>
    <col min="13570" max="13570" width="5.5" style="37" customWidth="1"/>
    <col min="13571" max="13571" width="9" style="37"/>
    <col min="13572" max="13573" width="6.375" style="37" customWidth="1"/>
    <col min="13574" max="13576" width="5.75" style="37" customWidth="1"/>
    <col min="13577" max="13577" width="40.875" style="37" customWidth="1"/>
    <col min="13578" max="13824" width="9" style="37"/>
    <col min="13825" max="13825" width="5.125" style="37" customWidth="1"/>
    <col min="13826" max="13826" width="5.5" style="37" customWidth="1"/>
    <col min="13827" max="13827" width="9" style="37"/>
    <col min="13828" max="13829" width="6.375" style="37" customWidth="1"/>
    <col min="13830" max="13832" width="5.75" style="37" customWidth="1"/>
    <col min="13833" max="13833" width="40.875" style="37" customWidth="1"/>
    <col min="13834" max="14080" width="9" style="37"/>
    <col min="14081" max="14081" width="5.125" style="37" customWidth="1"/>
    <col min="14082" max="14082" width="5.5" style="37" customWidth="1"/>
    <col min="14083" max="14083" width="9" style="37"/>
    <col min="14084" max="14085" width="6.375" style="37" customWidth="1"/>
    <col min="14086" max="14088" width="5.75" style="37" customWidth="1"/>
    <col min="14089" max="14089" width="40.875" style="37" customWidth="1"/>
    <col min="14090" max="14336" width="9" style="37"/>
    <col min="14337" max="14337" width="5.125" style="37" customWidth="1"/>
    <col min="14338" max="14338" width="5.5" style="37" customWidth="1"/>
    <col min="14339" max="14339" width="9" style="37"/>
    <col min="14340" max="14341" width="6.375" style="37" customWidth="1"/>
    <col min="14342" max="14344" width="5.75" style="37" customWidth="1"/>
    <col min="14345" max="14345" width="40.875" style="37" customWidth="1"/>
    <col min="14346" max="14592" width="9" style="37"/>
    <col min="14593" max="14593" width="5.125" style="37" customWidth="1"/>
    <col min="14594" max="14594" width="5.5" style="37" customWidth="1"/>
    <col min="14595" max="14595" width="9" style="37"/>
    <col min="14596" max="14597" width="6.375" style="37" customWidth="1"/>
    <col min="14598" max="14600" width="5.75" style="37" customWidth="1"/>
    <col min="14601" max="14601" width="40.875" style="37" customWidth="1"/>
    <col min="14602" max="14848" width="9" style="37"/>
    <col min="14849" max="14849" width="5.125" style="37" customWidth="1"/>
    <col min="14850" max="14850" width="5.5" style="37" customWidth="1"/>
    <col min="14851" max="14851" width="9" style="37"/>
    <col min="14852" max="14853" width="6.375" style="37" customWidth="1"/>
    <col min="14854" max="14856" width="5.75" style="37" customWidth="1"/>
    <col min="14857" max="14857" width="40.875" style="37" customWidth="1"/>
    <col min="14858" max="15104" width="9" style="37"/>
    <col min="15105" max="15105" width="5.125" style="37" customWidth="1"/>
    <col min="15106" max="15106" width="5.5" style="37" customWidth="1"/>
    <col min="15107" max="15107" width="9" style="37"/>
    <col min="15108" max="15109" width="6.375" style="37" customWidth="1"/>
    <col min="15110" max="15112" width="5.75" style="37" customWidth="1"/>
    <col min="15113" max="15113" width="40.875" style="37" customWidth="1"/>
    <col min="15114" max="15360" width="9" style="37"/>
    <col min="15361" max="15361" width="5.125" style="37" customWidth="1"/>
    <col min="15362" max="15362" width="5.5" style="37" customWidth="1"/>
    <col min="15363" max="15363" width="9" style="37"/>
    <col min="15364" max="15365" width="6.375" style="37" customWidth="1"/>
    <col min="15366" max="15368" width="5.75" style="37" customWidth="1"/>
    <col min="15369" max="15369" width="40.875" style="37" customWidth="1"/>
    <col min="15370" max="15616" width="9" style="37"/>
    <col min="15617" max="15617" width="5.125" style="37" customWidth="1"/>
    <col min="15618" max="15618" width="5.5" style="37" customWidth="1"/>
    <col min="15619" max="15619" width="9" style="37"/>
    <col min="15620" max="15621" width="6.375" style="37" customWidth="1"/>
    <col min="15622" max="15624" width="5.75" style="37" customWidth="1"/>
    <col min="15625" max="15625" width="40.875" style="37" customWidth="1"/>
    <col min="15626" max="15872" width="9" style="37"/>
    <col min="15873" max="15873" width="5.125" style="37" customWidth="1"/>
    <col min="15874" max="15874" width="5.5" style="37" customWidth="1"/>
    <col min="15875" max="15875" width="9" style="37"/>
    <col min="15876" max="15877" width="6.375" style="37" customWidth="1"/>
    <col min="15878" max="15880" width="5.75" style="37" customWidth="1"/>
    <col min="15881" max="15881" width="40.875" style="37" customWidth="1"/>
    <col min="15882" max="16128" width="9" style="37"/>
    <col min="16129" max="16129" width="5.125" style="37" customWidth="1"/>
    <col min="16130" max="16130" width="5.5" style="37" customWidth="1"/>
    <col min="16131" max="16131" width="9" style="37"/>
    <col min="16132" max="16133" width="6.375" style="37" customWidth="1"/>
    <col min="16134" max="16136" width="5.75" style="37" customWidth="1"/>
    <col min="16137" max="16137" width="40.875" style="37" customWidth="1"/>
    <col min="16138" max="16384" width="9" style="37"/>
  </cols>
  <sheetData>
    <row r="1" spans="1:9" s="51" customFormat="1" ht="21">
      <c r="A1" s="59" t="s">
        <v>144</v>
      </c>
      <c r="B1" s="59"/>
      <c r="C1" s="59"/>
      <c r="D1" s="59"/>
      <c r="E1" s="59"/>
      <c r="F1" s="59"/>
      <c r="G1" s="59"/>
      <c r="H1" s="59"/>
      <c r="I1" s="59"/>
    </row>
    <row r="2" spans="1:9" s="51" customFormat="1" ht="17.25" thickBot="1">
      <c r="A2" s="52"/>
      <c r="I2" s="58" t="s">
        <v>143</v>
      </c>
    </row>
    <row r="3" spans="1:9" ht="17.25" customHeight="1" thickTop="1">
      <c r="A3" s="76" t="s">
        <v>0</v>
      </c>
      <c r="B3" s="78" t="s">
        <v>1</v>
      </c>
      <c r="C3" s="79" t="s">
        <v>2</v>
      </c>
      <c r="D3" s="80"/>
      <c r="E3" s="80"/>
      <c r="F3" s="80"/>
      <c r="G3" s="80"/>
      <c r="H3" s="81"/>
      <c r="I3" s="60" t="s">
        <v>4</v>
      </c>
    </row>
    <row r="4" spans="1:9" ht="17.25" customHeight="1" thickBot="1">
      <c r="A4" s="77"/>
      <c r="B4" s="62"/>
      <c r="C4" s="62" t="s">
        <v>3</v>
      </c>
      <c r="D4" s="63"/>
      <c r="E4" s="63"/>
      <c r="F4" s="63"/>
      <c r="G4" s="63"/>
      <c r="H4" s="64"/>
      <c r="I4" s="61"/>
    </row>
    <row r="5" spans="1:9" ht="17.25" customHeight="1">
      <c r="A5" s="65" t="s">
        <v>5</v>
      </c>
      <c r="B5" s="34" t="s">
        <v>107</v>
      </c>
      <c r="C5" s="14" t="s">
        <v>26</v>
      </c>
      <c r="D5" s="68" t="s">
        <v>6</v>
      </c>
      <c r="E5" s="70" t="s">
        <v>86</v>
      </c>
      <c r="F5" s="70" t="s">
        <v>108</v>
      </c>
      <c r="G5" s="70"/>
      <c r="H5" s="72"/>
      <c r="I5" s="21" t="s">
        <v>87</v>
      </c>
    </row>
    <row r="6" spans="1:9" ht="17.25" customHeight="1">
      <c r="A6" s="66"/>
      <c r="B6" s="33" t="s">
        <v>27</v>
      </c>
      <c r="C6" s="15" t="s">
        <v>25</v>
      </c>
      <c r="D6" s="69"/>
      <c r="E6" s="71"/>
      <c r="F6" s="71"/>
      <c r="G6" s="71"/>
      <c r="H6" s="73"/>
      <c r="I6" s="12" t="s">
        <v>109</v>
      </c>
    </row>
    <row r="7" spans="1:9" ht="17.25" customHeight="1">
      <c r="A7" s="66"/>
      <c r="B7" s="33"/>
      <c r="C7" s="16" t="s">
        <v>6</v>
      </c>
      <c r="D7" s="4">
        <v>0</v>
      </c>
      <c r="E7" s="3">
        <f>D7+$B$11/2</f>
        <v>2.5</v>
      </c>
      <c r="F7" s="3">
        <f>E7+$B$11/2</f>
        <v>5</v>
      </c>
      <c r="G7" s="2"/>
      <c r="H7" s="43"/>
      <c r="I7" s="12" t="s">
        <v>110</v>
      </c>
    </row>
    <row r="8" spans="1:9" ht="17.25" customHeight="1">
      <c r="A8" s="66"/>
      <c r="B8" s="33"/>
      <c r="C8" s="17" t="s">
        <v>86</v>
      </c>
      <c r="D8" s="3">
        <f>D7-$B$11/2</f>
        <v>-2.5</v>
      </c>
      <c r="E8" s="4">
        <f>D7</f>
        <v>0</v>
      </c>
      <c r="F8" s="3">
        <f>F7-$B$11/2</f>
        <v>2.5</v>
      </c>
      <c r="G8" s="2"/>
      <c r="H8" s="19"/>
      <c r="I8" s="12" t="s">
        <v>111</v>
      </c>
    </row>
    <row r="9" spans="1:9" ht="17.25" customHeight="1">
      <c r="A9" s="66"/>
      <c r="B9" s="33"/>
      <c r="C9" s="17" t="s">
        <v>85</v>
      </c>
      <c r="D9" s="3">
        <f>D8-$B$11/2</f>
        <v>-5</v>
      </c>
      <c r="E9" s="3">
        <f>E8-$B$11/2</f>
        <v>-2.5</v>
      </c>
      <c r="F9" s="4">
        <f>D7</f>
        <v>0</v>
      </c>
      <c r="G9" s="2"/>
      <c r="H9" s="19"/>
      <c r="I9" s="12"/>
    </row>
    <row r="10" spans="1:9" ht="17.25" customHeight="1">
      <c r="A10" s="66"/>
      <c r="B10" s="33"/>
      <c r="C10" s="17"/>
      <c r="D10" s="2"/>
      <c r="E10" s="2"/>
      <c r="F10" s="2"/>
      <c r="G10" s="4"/>
      <c r="H10" s="19"/>
      <c r="I10" s="12"/>
    </row>
    <row r="11" spans="1:9" ht="17.25" customHeight="1" thickBot="1">
      <c r="A11" s="66"/>
      <c r="B11" s="13">
        <v>5</v>
      </c>
      <c r="C11" s="18"/>
      <c r="D11" s="11"/>
      <c r="E11" s="6"/>
      <c r="F11" s="6"/>
      <c r="G11" s="6"/>
      <c r="H11" s="20"/>
      <c r="I11" s="38"/>
    </row>
    <row r="12" spans="1:9" ht="17.25" customHeight="1">
      <c r="A12" s="66"/>
      <c r="B12" s="33" t="s">
        <v>30</v>
      </c>
      <c r="C12" s="14" t="s">
        <v>112</v>
      </c>
      <c r="D12" s="70" t="s">
        <v>6</v>
      </c>
      <c r="E12" s="70" t="s">
        <v>8</v>
      </c>
      <c r="F12" s="70" t="s">
        <v>85</v>
      </c>
      <c r="G12" s="70"/>
      <c r="H12" s="74"/>
      <c r="I12" s="21" t="s">
        <v>88</v>
      </c>
    </row>
    <row r="13" spans="1:9" ht="17.25" customHeight="1">
      <c r="A13" s="66"/>
      <c r="B13" s="33" t="s">
        <v>113</v>
      </c>
      <c r="C13" s="15" t="s">
        <v>25</v>
      </c>
      <c r="D13" s="71"/>
      <c r="E13" s="71"/>
      <c r="F13" s="71"/>
      <c r="G13" s="71"/>
      <c r="H13" s="75"/>
      <c r="I13" s="12" t="s">
        <v>92</v>
      </c>
    </row>
    <row r="14" spans="1:9" ht="17.25" customHeight="1">
      <c r="A14" s="66"/>
      <c r="B14" s="33"/>
      <c r="C14" s="17" t="s">
        <v>6</v>
      </c>
      <c r="D14" s="4">
        <v>0</v>
      </c>
      <c r="E14" s="4">
        <f>D14+$B$18/2</f>
        <v>1</v>
      </c>
      <c r="F14" s="4">
        <f>E14+$B$18/2</f>
        <v>2</v>
      </c>
      <c r="G14" s="2"/>
      <c r="H14" s="10"/>
      <c r="I14" s="12" t="s">
        <v>114</v>
      </c>
    </row>
    <row r="15" spans="1:9" ht="17.25" customHeight="1">
      <c r="A15" s="66"/>
      <c r="B15" s="33"/>
      <c r="C15" s="17" t="s">
        <v>86</v>
      </c>
      <c r="D15" s="4">
        <f>D14-$B$18/2</f>
        <v>-1</v>
      </c>
      <c r="E15" s="4">
        <f>D14</f>
        <v>0</v>
      </c>
      <c r="F15" s="4">
        <f>F14-$B$18/2</f>
        <v>1</v>
      </c>
      <c r="G15" s="2"/>
      <c r="H15" s="5"/>
      <c r="I15" s="36" t="s">
        <v>115</v>
      </c>
    </row>
    <row r="16" spans="1:9" ht="17.25" customHeight="1">
      <c r="A16" s="66"/>
      <c r="B16" s="33"/>
      <c r="C16" s="17" t="s">
        <v>108</v>
      </c>
      <c r="D16" s="4">
        <f>D15-$B$18/2</f>
        <v>-2</v>
      </c>
      <c r="E16" s="4">
        <f>E15-$B$18/2</f>
        <v>-1</v>
      </c>
      <c r="F16" s="4">
        <f>D14</f>
        <v>0</v>
      </c>
      <c r="G16" s="2"/>
      <c r="H16" s="5"/>
      <c r="I16" s="12"/>
    </row>
    <row r="17" spans="1:9" ht="17.25" customHeight="1">
      <c r="A17" s="66"/>
      <c r="B17" s="33"/>
      <c r="C17" s="17"/>
      <c r="D17" s="2"/>
      <c r="E17" s="2"/>
      <c r="F17" s="2"/>
      <c r="G17" s="4"/>
      <c r="H17" s="5"/>
      <c r="I17" s="36"/>
    </row>
    <row r="18" spans="1:9" ht="17.25" customHeight="1" thickBot="1">
      <c r="A18" s="66"/>
      <c r="B18" s="53">
        <v>2</v>
      </c>
      <c r="C18" s="18"/>
      <c r="D18" s="11"/>
      <c r="E18" s="6"/>
      <c r="F18" s="6"/>
      <c r="G18" s="6"/>
      <c r="H18" s="7"/>
      <c r="I18" s="38"/>
    </row>
    <row r="19" spans="1:9" ht="17.25" customHeight="1">
      <c r="A19" s="66"/>
      <c r="B19" s="34" t="s">
        <v>45</v>
      </c>
      <c r="C19" s="14" t="s">
        <v>26</v>
      </c>
      <c r="D19" s="70" t="s">
        <v>6</v>
      </c>
      <c r="E19" s="70" t="s">
        <v>116</v>
      </c>
      <c r="F19" s="70" t="s">
        <v>85</v>
      </c>
      <c r="G19" s="70"/>
      <c r="H19" s="74"/>
      <c r="I19" s="21" t="s">
        <v>89</v>
      </c>
    </row>
    <row r="20" spans="1:9" ht="17.25" customHeight="1">
      <c r="A20" s="66"/>
      <c r="B20" s="33" t="s">
        <v>117</v>
      </c>
      <c r="C20" s="15" t="s">
        <v>25</v>
      </c>
      <c r="D20" s="71"/>
      <c r="E20" s="71"/>
      <c r="F20" s="71"/>
      <c r="G20" s="71"/>
      <c r="H20" s="75"/>
      <c r="I20" s="12" t="s">
        <v>118</v>
      </c>
    </row>
    <row r="21" spans="1:9" ht="17.25" customHeight="1">
      <c r="A21" s="66"/>
      <c r="B21" s="33"/>
      <c r="C21" s="17" t="s">
        <v>6</v>
      </c>
      <c r="D21" s="4">
        <v>0</v>
      </c>
      <c r="E21" s="4">
        <f>D21+$B$25/2</f>
        <v>1</v>
      </c>
      <c r="F21" s="4">
        <f>E21+$B$25/2</f>
        <v>2</v>
      </c>
      <c r="G21" s="2"/>
      <c r="H21" s="10"/>
      <c r="I21" s="12" t="s">
        <v>119</v>
      </c>
    </row>
    <row r="22" spans="1:9" ht="17.25" customHeight="1">
      <c r="A22" s="66"/>
      <c r="B22" s="33"/>
      <c r="C22" s="17" t="s">
        <v>86</v>
      </c>
      <c r="D22" s="4">
        <f>D21-$B$25/2</f>
        <v>-1</v>
      </c>
      <c r="E22" s="4">
        <f>D21</f>
        <v>0</v>
      </c>
      <c r="F22" s="4">
        <f>F21-$B$25/2</f>
        <v>1</v>
      </c>
      <c r="G22" s="2"/>
      <c r="H22" s="5"/>
      <c r="I22" s="36" t="s">
        <v>120</v>
      </c>
    </row>
    <row r="23" spans="1:9" ht="17.25" customHeight="1">
      <c r="A23" s="66"/>
      <c r="B23" s="33"/>
      <c r="C23" s="17" t="s">
        <v>121</v>
      </c>
      <c r="D23" s="4">
        <f>D22-$B$25/2</f>
        <v>-2</v>
      </c>
      <c r="E23" s="4">
        <f>E22-$B$25/2</f>
        <v>-1</v>
      </c>
      <c r="F23" s="4">
        <f>D21</f>
        <v>0</v>
      </c>
      <c r="G23" s="2"/>
      <c r="H23" s="5"/>
      <c r="I23" s="12"/>
    </row>
    <row r="24" spans="1:9" ht="17.25" customHeight="1">
      <c r="A24" s="66"/>
      <c r="B24" s="33"/>
      <c r="C24" s="17"/>
      <c r="D24" s="2"/>
      <c r="E24" s="2"/>
      <c r="F24" s="2"/>
      <c r="G24" s="4"/>
      <c r="H24" s="5"/>
      <c r="I24" s="36"/>
    </row>
    <row r="25" spans="1:9" ht="17.25" customHeight="1" thickBot="1">
      <c r="A25" s="66"/>
      <c r="B25" s="53">
        <v>2</v>
      </c>
      <c r="C25" s="18"/>
      <c r="D25" s="11"/>
      <c r="E25" s="6"/>
      <c r="F25" s="6"/>
      <c r="G25" s="6"/>
      <c r="H25" s="7"/>
      <c r="I25" s="38"/>
    </row>
    <row r="26" spans="1:9" ht="17.25" customHeight="1">
      <c r="A26" s="66"/>
      <c r="B26" s="34" t="s">
        <v>46</v>
      </c>
      <c r="C26" s="14" t="s">
        <v>26</v>
      </c>
      <c r="D26" s="70" t="s">
        <v>6</v>
      </c>
      <c r="E26" s="70" t="s">
        <v>10</v>
      </c>
      <c r="F26" s="68"/>
      <c r="G26" s="70"/>
      <c r="H26" s="74"/>
      <c r="I26" s="83" t="s">
        <v>122</v>
      </c>
    </row>
    <row r="27" spans="1:9" ht="17.25" customHeight="1">
      <c r="A27" s="66"/>
      <c r="B27" s="33" t="s">
        <v>47</v>
      </c>
      <c r="C27" s="15" t="s">
        <v>25</v>
      </c>
      <c r="D27" s="71"/>
      <c r="E27" s="71"/>
      <c r="F27" s="69"/>
      <c r="G27" s="71"/>
      <c r="H27" s="75"/>
      <c r="I27" s="84"/>
    </row>
    <row r="28" spans="1:9" ht="17.25" customHeight="1">
      <c r="A28" s="66"/>
      <c r="B28" s="33"/>
      <c r="C28" s="17" t="s">
        <v>6</v>
      </c>
      <c r="D28" s="4">
        <v>0</v>
      </c>
      <c r="E28" s="4">
        <f>D28+$B$32</f>
        <v>4</v>
      </c>
      <c r="F28" s="26"/>
      <c r="G28" s="2"/>
      <c r="H28" s="10"/>
      <c r="I28" s="84"/>
    </row>
    <row r="29" spans="1:9" ht="17.25" customHeight="1">
      <c r="A29" s="66"/>
      <c r="B29" s="33"/>
      <c r="C29" s="17" t="s">
        <v>10</v>
      </c>
      <c r="D29" s="4">
        <f>D28-$B$32</f>
        <v>-4</v>
      </c>
      <c r="E29" s="4">
        <f>D28</f>
        <v>0</v>
      </c>
      <c r="F29" s="2"/>
      <c r="G29" s="2"/>
      <c r="H29" s="5"/>
      <c r="I29" s="36" t="s">
        <v>123</v>
      </c>
    </row>
    <row r="30" spans="1:9" ht="17.25" customHeight="1">
      <c r="A30" s="66"/>
      <c r="B30" s="33"/>
      <c r="C30" s="16"/>
      <c r="D30" s="27"/>
      <c r="E30" s="2"/>
      <c r="F30" s="4"/>
      <c r="G30" s="2"/>
      <c r="H30" s="5"/>
      <c r="I30" s="38"/>
    </row>
    <row r="31" spans="1:9" ht="17.25" customHeight="1">
      <c r="A31" s="66"/>
      <c r="B31" s="33"/>
      <c r="C31" s="17"/>
      <c r="D31" s="2"/>
      <c r="E31" s="2"/>
      <c r="F31" s="2"/>
      <c r="G31" s="4"/>
      <c r="H31" s="5"/>
      <c r="I31" s="38"/>
    </row>
    <row r="32" spans="1:9" ht="17.25" customHeight="1" thickBot="1">
      <c r="A32" s="66"/>
      <c r="B32" s="53">
        <v>4</v>
      </c>
      <c r="C32" s="18"/>
      <c r="D32" s="11"/>
      <c r="E32" s="6"/>
      <c r="F32" s="6"/>
      <c r="G32" s="6"/>
      <c r="H32" s="7"/>
      <c r="I32" s="38"/>
    </row>
    <row r="33" spans="1:9" ht="17.25" customHeight="1">
      <c r="A33" s="66"/>
      <c r="B33" s="34" t="s">
        <v>124</v>
      </c>
      <c r="C33" s="14" t="s">
        <v>26</v>
      </c>
      <c r="D33" s="70" t="s">
        <v>6</v>
      </c>
      <c r="E33" s="70" t="s">
        <v>86</v>
      </c>
      <c r="F33" s="70" t="s">
        <v>85</v>
      </c>
      <c r="G33" s="70"/>
      <c r="H33" s="74"/>
      <c r="I33" s="35" t="s">
        <v>125</v>
      </c>
    </row>
    <row r="34" spans="1:9" ht="17.25" customHeight="1">
      <c r="A34" s="66"/>
      <c r="B34" s="33" t="s">
        <v>33</v>
      </c>
      <c r="C34" s="15" t="s">
        <v>25</v>
      </c>
      <c r="D34" s="71"/>
      <c r="E34" s="71"/>
      <c r="F34" s="71"/>
      <c r="G34" s="71"/>
      <c r="H34" s="75"/>
      <c r="I34" s="36" t="s">
        <v>126</v>
      </c>
    </row>
    <row r="35" spans="1:9" ht="17.25" customHeight="1">
      <c r="A35" s="66"/>
      <c r="B35" s="33" t="s">
        <v>32</v>
      </c>
      <c r="C35" s="17" t="s">
        <v>6</v>
      </c>
      <c r="D35" s="4">
        <v>0</v>
      </c>
      <c r="E35" s="3">
        <f>D35+$B$39/2</f>
        <v>2.5</v>
      </c>
      <c r="F35" s="3">
        <f>E35+$B$39/2</f>
        <v>5</v>
      </c>
      <c r="G35" s="4"/>
      <c r="H35" s="10"/>
      <c r="I35" s="36" t="s">
        <v>11</v>
      </c>
    </row>
    <row r="36" spans="1:9" ht="17.25" customHeight="1">
      <c r="A36" s="66"/>
      <c r="B36" s="33" t="s">
        <v>31</v>
      </c>
      <c r="C36" s="17" t="s">
        <v>86</v>
      </c>
      <c r="D36" s="3">
        <f>D35-$B$39/2</f>
        <v>-2.5</v>
      </c>
      <c r="E36" s="4">
        <f>D35</f>
        <v>0</v>
      </c>
      <c r="F36" s="3">
        <f>F35-$B$39/2</f>
        <v>2.5</v>
      </c>
      <c r="G36" s="4"/>
      <c r="H36" s="10"/>
      <c r="I36" s="36"/>
    </row>
    <row r="37" spans="1:9" ht="17.25" customHeight="1">
      <c r="A37" s="66"/>
      <c r="B37" s="33"/>
      <c r="C37" s="17" t="s">
        <v>85</v>
      </c>
      <c r="D37" s="3">
        <f>D36-$B$39/2</f>
        <v>-5</v>
      </c>
      <c r="E37" s="3">
        <f>E36-$B$39/2</f>
        <v>-2.5</v>
      </c>
      <c r="F37" s="4">
        <f>D35</f>
        <v>0</v>
      </c>
      <c r="G37" s="4"/>
      <c r="H37" s="10"/>
      <c r="I37" s="36"/>
    </row>
    <row r="38" spans="1:9" ht="17.25" customHeight="1">
      <c r="A38" s="66"/>
      <c r="B38" s="33"/>
      <c r="C38" s="17"/>
      <c r="D38" s="4"/>
      <c r="E38" s="4"/>
      <c r="F38" s="4"/>
      <c r="G38" s="4"/>
      <c r="H38" s="10"/>
      <c r="I38" s="38"/>
    </row>
    <row r="39" spans="1:9" ht="17.25" customHeight="1" thickBot="1">
      <c r="A39" s="66"/>
      <c r="B39" s="13">
        <v>5</v>
      </c>
      <c r="C39" s="18"/>
      <c r="D39" s="11"/>
      <c r="E39" s="11"/>
      <c r="F39" s="11"/>
      <c r="G39" s="11"/>
      <c r="H39" s="7"/>
      <c r="I39" s="38"/>
    </row>
    <row r="40" spans="1:9" ht="17.25" customHeight="1">
      <c r="A40" s="66"/>
      <c r="B40" s="34" t="s">
        <v>48</v>
      </c>
      <c r="C40" s="14" t="s">
        <v>26</v>
      </c>
      <c r="D40" s="70" t="s">
        <v>6</v>
      </c>
      <c r="E40" s="70" t="s">
        <v>85</v>
      </c>
      <c r="F40" s="68"/>
      <c r="G40" s="70"/>
      <c r="H40" s="74"/>
      <c r="I40" s="47" t="s">
        <v>141</v>
      </c>
    </row>
    <row r="41" spans="1:9" ht="17.25" customHeight="1">
      <c r="A41" s="66"/>
      <c r="B41" s="33" t="s">
        <v>49</v>
      </c>
      <c r="C41" s="15" t="s">
        <v>25</v>
      </c>
      <c r="D41" s="71"/>
      <c r="E41" s="71"/>
      <c r="F41" s="69"/>
      <c r="G41" s="71"/>
      <c r="H41" s="75"/>
      <c r="I41" s="48" t="s">
        <v>12</v>
      </c>
    </row>
    <row r="42" spans="1:9" ht="17.25" customHeight="1">
      <c r="A42" s="66"/>
      <c r="B42" s="33"/>
      <c r="C42" s="17" t="s">
        <v>6</v>
      </c>
      <c r="D42" s="4">
        <v>0</v>
      </c>
      <c r="E42" s="4">
        <f>D42+$B$46</f>
        <v>5</v>
      </c>
      <c r="F42" s="4"/>
      <c r="G42" s="2"/>
      <c r="H42" s="10"/>
      <c r="I42" s="50" t="s">
        <v>142</v>
      </c>
    </row>
    <row r="43" spans="1:9" ht="17.25" customHeight="1">
      <c r="A43" s="66"/>
      <c r="B43" s="33"/>
      <c r="C43" s="17" t="s">
        <v>85</v>
      </c>
      <c r="D43" s="4">
        <f>D42-$B$46</f>
        <v>-5</v>
      </c>
      <c r="E43" s="4">
        <f>D42</f>
        <v>0</v>
      </c>
      <c r="F43" s="4"/>
      <c r="G43" s="2"/>
      <c r="H43" s="5"/>
      <c r="I43" s="36"/>
    </row>
    <row r="44" spans="1:9" ht="17.25" customHeight="1">
      <c r="A44" s="66"/>
      <c r="B44" s="33"/>
      <c r="C44" s="16"/>
      <c r="D44" s="4"/>
      <c r="E44" s="4"/>
      <c r="F44" s="4"/>
      <c r="G44" s="2"/>
      <c r="H44" s="5"/>
      <c r="I44" s="38"/>
    </row>
    <row r="45" spans="1:9" ht="17.25" customHeight="1">
      <c r="A45" s="66"/>
      <c r="B45" s="33"/>
      <c r="C45" s="17"/>
      <c r="D45" s="2"/>
      <c r="E45" s="2"/>
      <c r="F45" s="2"/>
      <c r="G45" s="4"/>
      <c r="H45" s="5"/>
      <c r="I45" s="38"/>
    </row>
    <row r="46" spans="1:9" ht="17.25" customHeight="1" thickBot="1">
      <c r="A46" s="67"/>
      <c r="B46" s="53">
        <v>5</v>
      </c>
      <c r="C46" s="18"/>
      <c r="D46" s="11"/>
      <c r="E46" s="6"/>
      <c r="F46" s="6"/>
      <c r="G46" s="6"/>
      <c r="H46" s="7"/>
      <c r="I46" s="39"/>
    </row>
    <row r="47" spans="1:9" ht="17.25" customHeight="1" thickTop="1">
      <c r="A47" s="65" t="s">
        <v>13</v>
      </c>
      <c r="B47" s="34" t="s">
        <v>50</v>
      </c>
      <c r="C47" s="14" t="s">
        <v>26</v>
      </c>
      <c r="D47" s="70" t="s">
        <v>6</v>
      </c>
      <c r="E47" s="70" t="s">
        <v>7</v>
      </c>
      <c r="F47" s="70" t="s">
        <v>8</v>
      </c>
      <c r="G47" s="70" t="s">
        <v>9</v>
      </c>
      <c r="H47" s="74" t="s">
        <v>10</v>
      </c>
      <c r="I47" s="49" t="s">
        <v>14</v>
      </c>
    </row>
    <row r="48" spans="1:9" ht="17.25" customHeight="1">
      <c r="A48" s="66"/>
      <c r="B48" s="33" t="s">
        <v>51</v>
      </c>
      <c r="C48" s="15" t="s">
        <v>25</v>
      </c>
      <c r="D48" s="71"/>
      <c r="E48" s="71"/>
      <c r="F48" s="71"/>
      <c r="G48" s="71"/>
      <c r="H48" s="75"/>
      <c r="I48" s="50" t="s">
        <v>101</v>
      </c>
    </row>
    <row r="49" spans="1:9" ht="17.25" customHeight="1">
      <c r="A49" s="66"/>
      <c r="B49" s="33" t="s">
        <v>34</v>
      </c>
      <c r="C49" s="17" t="s">
        <v>6</v>
      </c>
      <c r="D49" s="54">
        <v>0</v>
      </c>
      <c r="E49" s="55">
        <f>D49+$B$53/4</f>
        <v>0.75</v>
      </c>
      <c r="F49" s="55">
        <f t="shared" ref="F49:H50" si="0">E49+$B$53/4</f>
        <v>1.5</v>
      </c>
      <c r="G49" s="55">
        <f t="shared" si="0"/>
        <v>2.25</v>
      </c>
      <c r="H49" s="55">
        <f t="shared" si="0"/>
        <v>3</v>
      </c>
      <c r="I49" s="50" t="s">
        <v>102</v>
      </c>
    </row>
    <row r="50" spans="1:9" ht="17.25" customHeight="1">
      <c r="A50" s="66"/>
      <c r="B50" s="33" t="s">
        <v>35</v>
      </c>
      <c r="C50" s="17" t="s">
        <v>7</v>
      </c>
      <c r="D50" s="55">
        <f>D49-$B$53/4</f>
        <v>-0.75</v>
      </c>
      <c r="E50" s="54">
        <f>D49</f>
        <v>0</v>
      </c>
      <c r="F50" s="55">
        <f t="shared" si="0"/>
        <v>0.75</v>
      </c>
      <c r="G50" s="55">
        <f>F50+$B$53/4</f>
        <v>1.5</v>
      </c>
      <c r="H50" s="55">
        <f>G50+$B$53/4</f>
        <v>2.25</v>
      </c>
      <c r="I50" s="50" t="s">
        <v>103</v>
      </c>
    </row>
    <row r="51" spans="1:9" ht="17.25" customHeight="1">
      <c r="A51" s="66"/>
      <c r="B51" s="33"/>
      <c r="C51" s="17" t="s">
        <v>8</v>
      </c>
      <c r="D51" s="55">
        <f t="shared" ref="D51:E53" si="1">D50-$B$53/4</f>
        <v>-1.5</v>
      </c>
      <c r="E51" s="55">
        <f t="shared" si="1"/>
        <v>-0.75</v>
      </c>
      <c r="F51" s="54">
        <f>D49</f>
        <v>0</v>
      </c>
      <c r="G51" s="55">
        <f>F51+$B$53/4</f>
        <v>0.75</v>
      </c>
      <c r="H51" s="55">
        <f>G51+$B$53/4</f>
        <v>1.5</v>
      </c>
      <c r="I51" s="50" t="s">
        <v>104</v>
      </c>
    </row>
    <row r="52" spans="1:9" ht="17.25" customHeight="1">
      <c r="A52" s="66"/>
      <c r="B52" s="33"/>
      <c r="C52" s="17" t="s">
        <v>9</v>
      </c>
      <c r="D52" s="55">
        <f t="shared" si="1"/>
        <v>-2.25</v>
      </c>
      <c r="E52" s="55">
        <f>E51-$B$53/4</f>
        <v>-1.5</v>
      </c>
      <c r="F52" s="55">
        <f>F51-$B$53/4</f>
        <v>-0.75</v>
      </c>
      <c r="G52" s="54">
        <f>D49</f>
        <v>0</v>
      </c>
      <c r="H52" s="55">
        <f>G52+$B$53/4</f>
        <v>0.75</v>
      </c>
      <c r="I52" s="56"/>
    </row>
    <row r="53" spans="1:9" ht="17.25" customHeight="1" thickBot="1">
      <c r="A53" s="66"/>
      <c r="B53" s="53">
        <v>3</v>
      </c>
      <c r="C53" s="18" t="s">
        <v>10</v>
      </c>
      <c r="D53" s="55">
        <f t="shared" si="1"/>
        <v>-3</v>
      </c>
      <c r="E53" s="55">
        <f>E52-$B$53/4</f>
        <v>-2.25</v>
      </c>
      <c r="F53" s="55">
        <f>F52-$B$53/4</f>
        <v>-1.5</v>
      </c>
      <c r="G53" s="55">
        <f>G52-$B$53/4</f>
        <v>-0.75</v>
      </c>
      <c r="H53" s="57">
        <f>D49</f>
        <v>0</v>
      </c>
      <c r="I53" s="56"/>
    </row>
    <row r="54" spans="1:9" ht="17.25" customHeight="1">
      <c r="A54" s="66"/>
      <c r="B54" s="34" t="s">
        <v>28</v>
      </c>
      <c r="C54" s="14" t="s">
        <v>26</v>
      </c>
      <c r="D54" s="70" t="s">
        <v>6</v>
      </c>
      <c r="E54" s="70" t="s">
        <v>86</v>
      </c>
      <c r="F54" s="70" t="s">
        <v>85</v>
      </c>
      <c r="G54" s="70"/>
      <c r="H54" s="74"/>
      <c r="I54" s="35" t="s">
        <v>15</v>
      </c>
    </row>
    <row r="55" spans="1:9" ht="17.25" customHeight="1">
      <c r="A55" s="66"/>
      <c r="B55" s="33" t="s">
        <v>52</v>
      </c>
      <c r="C55" s="15" t="s">
        <v>25</v>
      </c>
      <c r="D55" s="71"/>
      <c r="E55" s="71"/>
      <c r="F55" s="71"/>
      <c r="G55" s="71"/>
      <c r="H55" s="75"/>
      <c r="I55" s="12" t="s">
        <v>127</v>
      </c>
    </row>
    <row r="56" spans="1:9" ht="17.25" customHeight="1">
      <c r="A56" s="66"/>
      <c r="B56" s="33" t="s">
        <v>50</v>
      </c>
      <c r="C56" s="17" t="s">
        <v>6</v>
      </c>
      <c r="D56" s="4">
        <v>0</v>
      </c>
      <c r="E56" s="4">
        <f>D56+$B$60/2</f>
        <v>4</v>
      </c>
      <c r="F56" s="4">
        <f>E56+$B$60/2</f>
        <v>8</v>
      </c>
      <c r="G56" s="4"/>
      <c r="H56" s="10"/>
      <c r="I56" s="12" t="s">
        <v>128</v>
      </c>
    </row>
    <row r="57" spans="1:9" ht="17.25" customHeight="1">
      <c r="A57" s="66"/>
      <c r="B57" s="33" t="s">
        <v>51</v>
      </c>
      <c r="C57" s="17" t="s">
        <v>86</v>
      </c>
      <c r="D57" s="4">
        <f>D56-$B$60/2</f>
        <v>-4</v>
      </c>
      <c r="E57" s="4">
        <f>D56</f>
        <v>0</v>
      </c>
      <c r="F57" s="4">
        <f>E57+$B$60/2</f>
        <v>4</v>
      </c>
      <c r="G57" s="4"/>
      <c r="H57" s="10"/>
      <c r="I57" s="36" t="s">
        <v>129</v>
      </c>
    </row>
    <row r="58" spans="1:9" ht="17.25" customHeight="1">
      <c r="A58" s="66"/>
      <c r="B58" s="33" t="s">
        <v>30</v>
      </c>
      <c r="C58" s="17" t="s">
        <v>85</v>
      </c>
      <c r="D58" s="4">
        <f>D57-$B$60/2</f>
        <v>-8</v>
      </c>
      <c r="E58" s="4">
        <f>E57-$B$60/2</f>
        <v>-4</v>
      </c>
      <c r="F58" s="4">
        <f>D56</f>
        <v>0</v>
      </c>
      <c r="G58" s="4"/>
      <c r="H58" s="10"/>
      <c r="I58" s="12"/>
    </row>
    <row r="59" spans="1:9" ht="17.25" customHeight="1">
      <c r="A59" s="66"/>
      <c r="B59" s="33" t="s">
        <v>29</v>
      </c>
      <c r="C59" s="17"/>
      <c r="D59" s="4"/>
      <c r="E59" s="4"/>
      <c r="F59" s="4"/>
      <c r="G59" s="4"/>
      <c r="H59" s="10"/>
      <c r="I59" s="36"/>
    </row>
    <row r="60" spans="1:9" ht="17.25" customHeight="1" thickBot="1">
      <c r="A60" s="82"/>
      <c r="B60" s="13">
        <v>8</v>
      </c>
      <c r="C60" s="18"/>
      <c r="D60" s="11"/>
      <c r="E60" s="11"/>
      <c r="F60" s="11"/>
      <c r="G60" s="11"/>
      <c r="H60" s="7"/>
      <c r="I60" s="38"/>
    </row>
    <row r="61" spans="1:9" ht="17.25" customHeight="1">
      <c r="A61" s="65" t="s">
        <v>16</v>
      </c>
      <c r="B61" s="34" t="s">
        <v>37</v>
      </c>
      <c r="C61" s="14" t="s">
        <v>26</v>
      </c>
      <c r="D61" s="70" t="s">
        <v>6</v>
      </c>
      <c r="E61" s="70" t="s">
        <v>7</v>
      </c>
      <c r="F61" s="70" t="s">
        <v>8</v>
      </c>
      <c r="G61" s="70" t="s">
        <v>9</v>
      </c>
      <c r="H61" s="74" t="s">
        <v>10</v>
      </c>
      <c r="I61" s="22"/>
    </row>
    <row r="62" spans="1:9" ht="17.25" customHeight="1">
      <c r="A62" s="66"/>
      <c r="B62" s="33" t="s">
        <v>38</v>
      </c>
      <c r="C62" s="15" t="s">
        <v>25</v>
      </c>
      <c r="D62" s="71"/>
      <c r="E62" s="71"/>
      <c r="F62" s="71"/>
      <c r="G62" s="71"/>
      <c r="H62" s="75"/>
      <c r="I62" s="23"/>
    </row>
    <row r="63" spans="1:9" ht="17.25" customHeight="1">
      <c r="A63" s="66"/>
      <c r="B63" s="33" t="s">
        <v>53</v>
      </c>
      <c r="C63" s="17" t="s">
        <v>6</v>
      </c>
      <c r="D63" s="28" t="s">
        <v>93</v>
      </c>
      <c r="E63" s="28" t="s">
        <v>93</v>
      </c>
      <c r="F63" s="28" t="s">
        <v>93</v>
      </c>
      <c r="G63" s="28" t="s">
        <v>93</v>
      </c>
      <c r="H63" s="29" t="s">
        <v>93</v>
      </c>
      <c r="I63" s="23"/>
    </row>
    <row r="64" spans="1:9" ht="17.25" customHeight="1">
      <c r="A64" s="66"/>
      <c r="B64" s="33" t="s">
        <v>54</v>
      </c>
      <c r="C64" s="17" t="s">
        <v>7</v>
      </c>
      <c r="D64" s="28" t="s">
        <v>93</v>
      </c>
      <c r="E64" s="28" t="s">
        <v>93</v>
      </c>
      <c r="F64" s="28" t="s">
        <v>93</v>
      </c>
      <c r="G64" s="28" t="s">
        <v>93</v>
      </c>
      <c r="H64" s="29" t="s">
        <v>93</v>
      </c>
      <c r="I64" s="23"/>
    </row>
    <row r="65" spans="1:9" ht="17.25" customHeight="1">
      <c r="A65" s="66"/>
      <c r="B65" s="33" t="s">
        <v>39</v>
      </c>
      <c r="C65" s="17" t="s">
        <v>8</v>
      </c>
      <c r="D65" s="28" t="s">
        <v>93</v>
      </c>
      <c r="E65" s="28" t="s">
        <v>93</v>
      </c>
      <c r="F65" s="28" t="s">
        <v>93</v>
      </c>
      <c r="G65" s="28" t="s">
        <v>93</v>
      </c>
      <c r="H65" s="29" t="s">
        <v>93</v>
      </c>
      <c r="I65" s="23"/>
    </row>
    <row r="66" spans="1:9" ht="17.25" customHeight="1">
      <c r="A66" s="66"/>
      <c r="B66" s="33" t="s">
        <v>95</v>
      </c>
      <c r="C66" s="17" t="s">
        <v>9</v>
      </c>
      <c r="D66" s="28" t="s">
        <v>93</v>
      </c>
      <c r="E66" s="28" t="s">
        <v>93</v>
      </c>
      <c r="F66" s="28" t="s">
        <v>93</v>
      </c>
      <c r="G66" s="28" t="s">
        <v>93</v>
      </c>
      <c r="H66" s="29" t="s">
        <v>93</v>
      </c>
      <c r="I66" s="24"/>
    </row>
    <row r="67" spans="1:9" ht="17.25" customHeight="1" thickBot="1">
      <c r="A67" s="66"/>
      <c r="B67" s="32" t="s">
        <v>94</v>
      </c>
      <c r="C67" s="18" t="s">
        <v>10</v>
      </c>
      <c r="D67" s="30" t="s">
        <v>93</v>
      </c>
      <c r="E67" s="30" t="s">
        <v>93</v>
      </c>
      <c r="F67" s="30" t="s">
        <v>93</v>
      </c>
      <c r="G67" s="30" t="s">
        <v>93</v>
      </c>
      <c r="H67" s="31" t="s">
        <v>93</v>
      </c>
      <c r="I67" s="40"/>
    </row>
    <row r="68" spans="1:9" ht="17.25" customHeight="1">
      <c r="A68" s="66"/>
      <c r="B68" s="34" t="s">
        <v>37</v>
      </c>
      <c r="C68" s="14" t="s">
        <v>26</v>
      </c>
      <c r="D68" s="70" t="s">
        <v>6</v>
      </c>
      <c r="E68" s="70" t="s">
        <v>7</v>
      </c>
      <c r="F68" s="70" t="s">
        <v>8</v>
      </c>
      <c r="G68" s="70" t="s">
        <v>9</v>
      </c>
      <c r="H68" s="74" t="s">
        <v>10</v>
      </c>
      <c r="I68" s="35" t="s">
        <v>84</v>
      </c>
    </row>
    <row r="69" spans="1:9" ht="17.25" customHeight="1">
      <c r="A69" s="66"/>
      <c r="B69" s="33" t="s">
        <v>38</v>
      </c>
      <c r="C69" s="15" t="s">
        <v>25</v>
      </c>
      <c r="D69" s="71"/>
      <c r="E69" s="71"/>
      <c r="F69" s="71"/>
      <c r="G69" s="71"/>
      <c r="H69" s="75"/>
      <c r="I69" s="23" t="s">
        <v>130</v>
      </c>
    </row>
    <row r="70" spans="1:9" ht="17.25" customHeight="1">
      <c r="A70" s="66"/>
      <c r="B70" s="33" t="s">
        <v>55</v>
      </c>
      <c r="C70" s="17" t="s">
        <v>6</v>
      </c>
      <c r="D70" s="4">
        <v>0</v>
      </c>
      <c r="E70" s="3">
        <f>D70+$B$74/4</f>
        <v>2.5</v>
      </c>
      <c r="F70" s="3">
        <f>E70+$B$74/4</f>
        <v>5</v>
      </c>
      <c r="G70" s="3">
        <f>F70+$B$74/4</f>
        <v>7.5</v>
      </c>
      <c r="H70" s="8">
        <f>G70+$B$74/4</f>
        <v>10</v>
      </c>
      <c r="I70" s="23" t="s">
        <v>131</v>
      </c>
    </row>
    <row r="71" spans="1:9" ht="17.25" customHeight="1">
      <c r="A71" s="66"/>
      <c r="B71" s="33" t="s">
        <v>56</v>
      </c>
      <c r="C71" s="17" t="s">
        <v>7</v>
      </c>
      <c r="D71" s="3">
        <f>D70-$B$74/4</f>
        <v>-2.5</v>
      </c>
      <c r="E71" s="4">
        <f>D70</f>
        <v>0</v>
      </c>
      <c r="F71" s="3">
        <f>F70-$B$74/4</f>
        <v>2.5</v>
      </c>
      <c r="G71" s="3">
        <f>G70-$B$74/4</f>
        <v>5</v>
      </c>
      <c r="H71" s="8">
        <f>H70-$B$74/4</f>
        <v>7.5</v>
      </c>
      <c r="I71" s="23" t="s">
        <v>132</v>
      </c>
    </row>
    <row r="72" spans="1:9" ht="17.25" customHeight="1">
      <c r="A72" s="66"/>
      <c r="B72" s="33" t="s">
        <v>39</v>
      </c>
      <c r="C72" s="17" t="s">
        <v>8</v>
      </c>
      <c r="D72" s="3">
        <f>D71-$B$74/4</f>
        <v>-5</v>
      </c>
      <c r="E72" s="3">
        <f>E71-$B$74/4</f>
        <v>-2.5</v>
      </c>
      <c r="F72" s="4">
        <f>D70</f>
        <v>0</v>
      </c>
      <c r="G72" s="3">
        <f>G71-$B$74/4</f>
        <v>2.5</v>
      </c>
      <c r="H72" s="8">
        <f>H71-$B$74/4</f>
        <v>5</v>
      </c>
      <c r="I72" s="23" t="s">
        <v>133</v>
      </c>
    </row>
    <row r="73" spans="1:9" ht="17.25" customHeight="1">
      <c r="A73" s="66"/>
      <c r="B73" s="33" t="s">
        <v>40</v>
      </c>
      <c r="C73" s="17" t="s">
        <v>9</v>
      </c>
      <c r="D73" s="3">
        <f>D72-$B$74/4</f>
        <v>-7.5</v>
      </c>
      <c r="E73" s="3">
        <f>E72-$B$74/4</f>
        <v>-5</v>
      </c>
      <c r="F73" s="3">
        <f>F72-$B$74/4</f>
        <v>-2.5</v>
      </c>
      <c r="G73" s="4">
        <f>D70</f>
        <v>0</v>
      </c>
      <c r="H73" s="8">
        <f>H72-$B$74/4</f>
        <v>2.5</v>
      </c>
      <c r="I73" s="36" t="s">
        <v>134</v>
      </c>
    </row>
    <row r="74" spans="1:9" ht="17.25" customHeight="1" thickBot="1">
      <c r="A74" s="66"/>
      <c r="B74" s="13">
        <v>10</v>
      </c>
      <c r="C74" s="18" t="s">
        <v>10</v>
      </c>
      <c r="D74" s="9">
        <f>D73-$B$74/4</f>
        <v>-10</v>
      </c>
      <c r="E74" s="9">
        <f>E73-$B$74/4</f>
        <v>-7.5</v>
      </c>
      <c r="F74" s="9">
        <f>F73-$B$74/4</f>
        <v>-5</v>
      </c>
      <c r="G74" s="9">
        <f>G73-$B$74/4</f>
        <v>-2.5</v>
      </c>
      <c r="H74" s="7">
        <f>D70</f>
        <v>0</v>
      </c>
      <c r="I74" s="36"/>
    </row>
    <row r="75" spans="1:9" ht="17.25" customHeight="1">
      <c r="A75" s="66"/>
      <c r="B75" s="34" t="s">
        <v>57</v>
      </c>
      <c r="C75" s="14" t="s">
        <v>26</v>
      </c>
      <c r="D75" s="70" t="s">
        <v>6</v>
      </c>
      <c r="E75" s="70" t="s">
        <v>7</v>
      </c>
      <c r="F75" s="70" t="s">
        <v>8</v>
      </c>
      <c r="G75" s="70" t="s">
        <v>9</v>
      </c>
      <c r="H75" s="74" t="s">
        <v>10</v>
      </c>
      <c r="I75" s="85"/>
    </row>
    <row r="76" spans="1:9" ht="17.25" customHeight="1">
      <c r="A76" s="66"/>
      <c r="B76" s="33" t="s">
        <v>58</v>
      </c>
      <c r="C76" s="15" t="s">
        <v>25</v>
      </c>
      <c r="D76" s="71"/>
      <c r="E76" s="71"/>
      <c r="F76" s="71"/>
      <c r="G76" s="71"/>
      <c r="H76" s="75"/>
      <c r="I76" s="86"/>
    </row>
    <row r="77" spans="1:9" ht="17.25" customHeight="1">
      <c r="A77" s="66"/>
      <c r="B77" s="33" t="s">
        <v>59</v>
      </c>
      <c r="C77" s="17" t="s">
        <v>6</v>
      </c>
      <c r="D77" s="28" t="s">
        <v>93</v>
      </c>
      <c r="E77" s="28" t="s">
        <v>93</v>
      </c>
      <c r="F77" s="28" t="s">
        <v>93</v>
      </c>
      <c r="G77" s="28" t="s">
        <v>93</v>
      </c>
      <c r="H77" s="29" t="s">
        <v>93</v>
      </c>
      <c r="I77" s="23"/>
    </row>
    <row r="78" spans="1:9" ht="17.25" customHeight="1">
      <c r="A78" s="66"/>
      <c r="B78" s="33" t="s">
        <v>60</v>
      </c>
      <c r="C78" s="17" t="s">
        <v>7</v>
      </c>
      <c r="D78" s="28" t="s">
        <v>93</v>
      </c>
      <c r="E78" s="28" t="s">
        <v>93</v>
      </c>
      <c r="F78" s="28" t="s">
        <v>93</v>
      </c>
      <c r="G78" s="28" t="s">
        <v>93</v>
      </c>
      <c r="H78" s="29" t="s">
        <v>93</v>
      </c>
      <c r="I78" s="23"/>
    </row>
    <row r="79" spans="1:9" ht="17.25" customHeight="1">
      <c r="A79" s="66"/>
      <c r="B79" s="33" t="s">
        <v>39</v>
      </c>
      <c r="C79" s="17" t="s">
        <v>8</v>
      </c>
      <c r="D79" s="28" t="s">
        <v>93</v>
      </c>
      <c r="E79" s="28" t="s">
        <v>93</v>
      </c>
      <c r="F79" s="28" t="s">
        <v>93</v>
      </c>
      <c r="G79" s="28" t="s">
        <v>93</v>
      </c>
      <c r="H79" s="29" t="s">
        <v>93</v>
      </c>
      <c r="I79" s="23"/>
    </row>
    <row r="80" spans="1:9" ht="17.25" customHeight="1">
      <c r="A80" s="66"/>
      <c r="B80" s="33" t="s">
        <v>95</v>
      </c>
      <c r="C80" s="17" t="s">
        <v>9</v>
      </c>
      <c r="D80" s="28" t="s">
        <v>93</v>
      </c>
      <c r="E80" s="28" t="s">
        <v>93</v>
      </c>
      <c r="F80" s="28" t="s">
        <v>93</v>
      </c>
      <c r="G80" s="28" t="s">
        <v>93</v>
      </c>
      <c r="H80" s="29" t="s">
        <v>93</v>
      </c>
      <c r="I80" s="23"/>
    </row>
    <row r="81" spans="1:9" ht="17.25" customHeight="1" thickBot="1">
      <c r="A81" s="66"/>
      <c r="B81" s="32" t="s">
        <v>94</v>
      </c>
      <c r="C81" s="18" t="s">
        <v>10</v>
      </c>
      <c r="D81" s="30" t="s">
        <v>93</v>
      </c>
      <c r="E81" s="30" t="s">
        <v>93</v>
      </c>
      <c r="F81" s="30" t="s">
        <v>93</v>
      </c>
      <c r="G81" s="30" t="s">
        <v>93</v>
      </c>
      <c r="H81" s="31" t="s">
        <v>93</v>
      </c>
      <c r="I81" s="36"/>
    </row>
    <row r="82" spans="1:9" ht="17.25" customHeight="1">
      <c r="A82" s="66"/>
      <c r="B82" s="34" t="s">
        <v>37</v>
      </c>
      <c r="C82" s="14" t="s">
        <v>26</v>
      </c>
      <c r="D82" s="70" t="s">
        <v>6</v>
      </c>
      <c r="E82" s="70" t="s">
        <v>7</v>
      </c>
      <c r="F82" s="70" t="s">
        <v>8</v>
      </c>
      <c r="G82" s="70" t="s">
        <v>9</v>
      </c>
      <c r="H82" s="74" t="s">
        <v>10</v>
      </c>
      <c r="I82" s="85" t="s">
        <v>135</v>
      </c>
    </row>
    <row r="83" spans="1:9" ht="17.25" customHeight="1">
      <c r="A83" s="66"/>
      <c r="B83" s="33" t="s">
        <v>38</v>
      </c>
      <c r="C83" s="15" t="s">
        <v>25</v>
      </c>
      <c r="D83" s="71"/>
      <c r="E83" s="71"/>
      <c r="F83" s="71"/>
      <c r="G83" s="71"/>
      <c r="H83" s="75"/>
      <c r="I83" s="86"/>
    </row>
    <row r="84" spans="1:9" ht="17.25" customHeight="1">
      <c r="A84" s="66"/>
      <c r="B84" s="33" t="s">
        <v>36</v>
      </c>
      <c r="C84" s="17" t="s">
        <v>6</v>
      </c>
      <c r="D84" s="4">
        <v>0</v>
      </c>
      <c r="E84" s="2">
        <f>D84+$B$88/4</f>
        <v>0.75</v>
      </c>
      <c r="F84" s="2">
        <f>E84+$B$88/4</f>
        <v>1.5</v>
      </c>
      <c r="G84" s="2">
        <f>F84+$B$88/4</f>
        <v>2.25</v>
      </c>
      <c r="H84" s="5">
        <f>G84+$B$88/4</f>
        <v>3</v>
      </c>
      <c r="I84" s="12" t="s">
        <v>130</v>
      </c>
    </row>
    <row r="85" spans="1:9" ht="17.25" customHeight="1">
      <c r="A85" s="66"/>
      <c r="B85" s="33" t="s">
        <v>61</v>
      </c>
      <c r="C85" s="17" t="s">
        <v>7</v>
      </c>
      <c r="D85" s="2">
        <f>D84-$B$88/4</f>
        <v>-0.75</v>
      </c>
      <c r="E85" s="4">
        <f>D84</f>
        <v>0</v>
      </c>
      <c r="F85" s="2">
        <f>F84-$B$88/4</f>
        <v>0.75</v>
      </c>
      <c r="G85" s="2">
        <f>G84-$B$88/4</f>
        <v>1.5</v>
      </c>
      <c r="H85" s="5">
        <f>H84-$B$88/4</f>
        <v>2.25</v>
      </c>
      <c r="I85" s="12" t="s">
        <v>131</v>
      </c>
    </row>
    <row r="86" spans="1:9" ht="17.25" customHeight="1">
      <c r="A86" s="66"/>
      <c r="B86" s="33" t="s">
        <v>39</v>
      </c>
      <c r="C86" s="17" t="s">
        <v>8</v>
      </c>
      <c r="D86" s="2">
        <f>D85-$B$88/4</f>
        <v>-1.5</v>
      </c>
      <c r="E86" s="2">
        <f>E85-$B$88/4</f>
        <v>-0.75</v>
      </c>
      <c r="F86" s="4">
        <f>D84</f>
        <v>0</v>
      </c>
      <c r="G86" s="2">
        <f>G85-$B$88/4</f>
        <v>0.75</v>
      </c>
      <c r="H86" s="5">
        <f>H85-$B$88/4</f>
        <v>1.5</v>
      </c>
      <c r="I86" s="12" t="s">
        <v>132</v>
      </c>
    </row>
    <row r="87" spans="1:9" ht="17.25" customHeight="1">
      <c r="A87" s="66"/>
      <c r="B87" s="33" t="s">
        <v>40</v>
      </c>
      <c r="C87" s="17" t="s">
        <v>9</v>
      </c>
      <c r="D87" s="2">
        <f>D86-$B$88/4</f>
        <v>-2.25</v>
      </c>
      <c r="E87" s="2">
        <f>E86-$B$88/4</f>
        <v>-1.5</v>
      </c>
      <c r="F87" s="2">
        <f>F86-$B$88/4</f>
        <v>-0.75</v>
      </c>
      <c r="G87" s="4">
        <f>D84</f>
        <v>0</v>
      </c>
      <c r="H87" s="5">
        <f>H86-$B$88/4</f>
        <v>0.75</v>
      </c>
      <c r="I87" s="12" t="s">
        <v>133</v>
      </c>
    </row>
    <row r="88" spans="1:9" ht="17.25" customHeight="1" thickBot="1">
      <c r="A88" s="67"/>
      <c r="B88" s="13">
        <v>3</v>
      </c>
      <c r="C88" s="18" t="s">
        <v>10</v>
      </c>
      <c r="D88" s="6">
        <f>D87-$B$88/4</f>
        <v>-3</v>
      </c>
      <c r="E88" s="6">
        <f>E87-$B$88/4</f>
        <v>-2.25</v>
      </c>
      <c r="F88" s="6">
        <f>F87-$B$88/4</f>
        <v>-1.5</v>
      </c>
      <c r="G88" s="6">
        <f>G87-$B$88/4</f>
        <v>-0.75</v>
      </c>
      <c r="H88" s="7">
        <f>D84</f>
        <v>0</v>
      </c>
      <c r="I88" s="25" t="s">
        <v>134</v>
      </c>
    </row>
    <row r="89" spans="1:9" ht="21.75" customHeight="1" thickTop="1">
      <c r="A89" s="65" t="s">
        <v>16</v>
      </c>
      <c r="B89" s="34" t="s">
        <v>37</v>
      </c>
      <c r="C89" s="14" t="s">
        <v>26</v>
      </c>
      <c r="D89" s="70" t="s">
        <v>6</v>
      </c>
      <c r="E89" s="70" t="s">
        <v>7</v>
      </c>
      <c r="F89" s="70" t="s">
        <v>8</v>
      </c>
      <c r="G89" s="70" t="s">
        <v>9</v>
      </c>
      <c r="H89" s="74" t="s">
        <v>10</v>
      </c>
      <c r="I89" s="35"/>
    </row>
    <row r="90" spans="1:9" ht="21.75" customHeight="1">
      <c r="A90" s="66"/>
      <c r="B90" s="33" t="s">
        <v>38</v>
      </c>
      <c r="C90" s="15" t="s">
        <v>25</v>
      </c>
      <c r="D90" s="71"/>
      <c r="E90" s="71"/>
      <c r="F90" s="71"/>
      <c r="G90" s="71"/>
      <c r="H90" s="75"/>
      <c r="I90" s="12"/>
    </row>
    <row r="91" spans="1:9" ht="21.75" customHeight="1">
      <c r="A91" s="66"/>
      <c r="B91" s="33" t="s">
        <v>62</v>
      </c>
      <c r="C91" s="17" t="s">
        <v>6</v>
      </c>
      <c r="D91" s="28" t="s">
        <v>93</v>
      </c>
      <c r="E91" s="28" t="s">
        <v>93</v>
      </c>
      <c r="F91" s="28" t="s">
        <v>93</v>
      </c>
      <c r="G91" s="28" t="s">
        <v>93</v>
      </c>
      <c r="H91" s="29" t="s">
        <v>93</v>
      </c>
      <c r="I91" s="12"/>
    </row>
    <row r="92" spans="1:9" ht="21.75" customHeight="1">
      <c r="A92" s="66"/>
      <c r="B92" s="33" t="s">
        <v>63</v>
      </c>
      <c r="C92" s="17" t="s">
        <v>7</v>
      </c>
      <c r="D92" s="28" t="s">
        <v>93</v>
      </c>
      <c r="E92" s="28" t="s">
        <v>93</v>
      </c>
      <c r="F92" s="28" t="s">
        <v>93</v>
      </c>
      <c r="G92" s="28" t="s">
        <v>93</v>
      </c>
      <c r="H92" s="29" t="s">
        <v>93</v>
      </c>
      <c r="I92" s="12"/>
    </row>
    <row r="93" spans="1:9" ht="21.75" customHeight="1">
      <c r="A93" s="66"/>
      <c r="B93" s="33" t="s">
        <v>39</v>
      </c>
      <c r="C93" s="17" t="s">
        <v>8</v>
      </c>
      <c r="D93" s="28" t="s">
        <v>93</v>
      </c>
      <c r="E93" s="28" t="s">
        <v>93</v>
      </c>
      <c r="F93" s="28" t="s">
        <v>93</v>
      </c>
      <c r="G93" s="28" t="s">
        <v>93</v>
      </c>
      <c r="H93" s="29" t="s">
        <v>93</v>
      </c>
      <c r="I93" s="12"/>
    </row>
    <row r="94" spans="1:9" ht="21.75" customHeight="1">
      <c r="A94" s="66"/>
      <c r="B94" s="33" t="s">
        <v>95</v>
      </c>
      <c r="C94" s="17" t="s">
        <v>9</v>
      </c>
      <c r="D94" s="28" t="s">
        <v>93</v>
      </c>
      <c r="E94" s="28" t="s">
        <v>93</v>
      </c>
      <c r="F94" s="28" t="s">
        <v>93</v>
      </c>
      <c r="G94" s="28" t="s">
        <v>93</v>
      </c>
      <c r="H94" s="29" t="s">
        <v>93</v>
      </c>
      <c r="I94" s="36"/>
    </row>
    <row r="95" spans="1:9" ht="21.75" customHeight="1" thickBot="1">
      <c r="A95" s="67"/>
      <c r="B95" s="32" t="s">
        <v>94</v>
      </c>
      <c r="C95" s="18" t="s">
        <v>10</v>
      </c>
      <c r="D95" s="30" t="s">
        <v>93</v>
      </c>
      <c r="E95" s="30" t="s">
        <v>93</v>
      </c>
      <c r="F95" s="30" t="s">
        <v>93</v>
      </c>
      <c r="G95" s="30" t="s">
        <v>93</v>
      </c>
      <c r="H95" s="31" t="s">
        <v>93</v>
      </c>
      <c r="I95" s="36"/>
    </row>
    <row r="96" spans="1:9" ht="21.75" customHeight="1" thickTop="1">
      <c r="A96" s="88" t="s">
        <v>17</v>
      </c>
      <c r="B96" s="34" t="s">
        <v>64</v>
      </c>
      <c r="C96" s="14" t="s">
        <v>26</v>
      </c>
      <c r="D96" s="70" t="s">
        <v>6</v>
      </c>
      <c r="E96" s="70" t="s">
        <v>7</v>
      </c>
      <c r="F96" s="70" t="s">
        <v>8</v>
      </c>
      <c r="G96" s="70" t="s">
        <v>9</v>
      </c>
      <c r="H96" s="74" t="s">
        <v>10</v>
      </c>
      <c r="I96" s="35" t="s">
        <v>91</v>
      </c>
    </row>
    <row r="97" spans="1:9" ht="21.75" customHeight="1">
      <c r="A97" s="66"/>
      <c r="B97" s="33" t="s">
        <v>65</v>
      </c>
      <c r="C97" s="15" t="s">
        <v>25</v>
      </c>
      <c r="D97" s="71"/>
      <c r="E97" s="71"/>
      <c r="F97" s="71"/>
      <c r="G97" s="71"/>
      <c r="H97" s="75"/>
      <c r="I97" s="12" t="s">
        <v>96</v>
      </c>
    </row>
    <row r="98" spans="1:9" ht="21.75" customHeight="1">
      <c r="A98" s="66"/>
      <c r="B98" s="33" t="s">
        <v>66</v>
      </c>
      <c r="C98" s="17" t="s">
        <v>6</v>
      </c>
      <c r="D98" s="4">
        <v>0</v>
      </c>
      <c r="E98" s="3">
        <f>D98+$B$102/4</f>
        <v>2.5</v>
      </c>
      <c r="F98" s="3">
        <f>E98+$B$102/4</f>
        <v>5</v>
      </c>
      <c r="G98" s="3">
        <f>F98+$B$102/4</f>
        <v>7.5</v>
      </c>
      <c r="H98" s="8">
        <f>G98+$B$102/4</f>
        <v>10</v>
      </c>
      <c r="I98" s="12" t="s">
        <v>97</v>
      </c>
    </row>
    <row r="99" spans="1:9" ht="21.75" customHeight="1">
      <c r="A99" s="66"/>
      <c r="B99" s="33" t="s">
        <v>67</v>
      </c>
      <c r="C99" s="17" t="s">
        <v>7</v>
      </c>
      <c r="D99" s="3">
        <f>D98-$B$102/4</f>
        <v>-2.5</v>
      </c>
      <c r="E99" s="4">
        <f>D98</f>
        <v>0</v>
      </c>
      <c r="F99" s="3">
        <f>F98-$B$102/4</f>
        <v>2.5</v>
      </c>
      <c r="G99" s="3">
        <f>G98-$B$102/4</f>
        <v>5</v>
      </c>
      <c r="H99" s="8">
        <f>H98-$B$102/4</f>
        <v>7.5</v>
      </c>
      <c r="I99" s="12" t="s">
        <v>98</v>
      </c>
    </row>
    <row r="100" spans="1:9" ht="21.75" customHeight="1">
      <c r="A100" s="66"/>
      <c r="B100" s="33"/>
      <c r="C100" s="17" t="s">
        <v>8</v>
      </c>
      <c r="D100" s="3">
        <f>D99-$B$102/4</f>
        <v>-5</v>
      </c>
      <c r="E100" s="3">
        <f>E99-$B$102/4</f>
        <v>-2.5</v>
      </c>
      <c r="F100" s="4">
        <f>D98</f>
        <v>0</v>
      </c>
      <c r="G100" s="3">
        <f>G99-$B$102/4</f>
        <v>2.5</v>
      </c>
      <c r="H100" s="8">
        <f>H99-$B$102/4</f>
        <v>5</v>
      </c>
      <c r="I100" s="12" t="s">
        <v>99</v>
      </c>
    </row>
    <row r="101" spans="1:9" ht="21.75" customHeight="1">
      <c r="A101" s="66"/>
      <c r="B101" s="33"/>
      <c r="C101" s="17" t="s">
        <v>9</v>
      </c>
      <c r="D101" s="3">
        <f>D100-$B$102/4</f>
        <v>-7.5</v>
      </c>
      <c r="E101" s="3">
        <f>E100-$B$102/4</f>
        <v>-5</v>
      </c>
      <c r="F101" s="3">
        <f>F100-$B$102/4</f>
        <v>-2.5</v>
      </c>
      <c r="G101" s="4">
        <f>D98</f>
        <v>0</v>
      </c>
      <c r="H101" s="8">
        <f>H100-$B$102/4</f>
        <v>2.5</v>
      </c>
      <c r="I101" s="36" t="s">
        <v>100</v>
      </c>
    </row>
    <row r="102" spans="1:9" ht="21.75" customHeight="1" thickBot="1">
      <c r="A102" s="66"/>
      <c r="B102" s="13">
        <v>10</v>
      </c>
      <c r="C102" s="18" t="s">
        <v>10</v>
      </c>
      <c r="D102" s="9">
        <f>D101-$B$102/4</f>
        <v>-10</v>
      </c>
      <c r="E102" s="9">
        <f>E101-$B$102/4</f>
        <v>-7.5</v>
      </c>
      <c r="F102" s="9">
        <f>F101-$B$102/4</f>
        <v>-5</v>
      </c>
      <c r="G102" s="9">
        <f>G101-$B$102/4</f>
        <v>-2.5</v>
      </c>
      <c r="H102" s="7">
        <f>D98</f>
        <v>0</v>
      </c>
      <c r="I102" s="38"/>
    </row>
    <row r="103" spans="1:9" ht="17.25" customHeight="1">
      <c r="A103" s="66"/>
      <c r="B103" s="34" t="s">
        <v>41</v>
      </c>
      <c r="C103" s="14" t="s">
        <v>26</v>
      </c>
      <c r="D103" s="70" t="s">
        <v>6</v>
      </c>
      <c r="E103" s="70" t="s">
        <v>7</v>
      </c>
      <c r="F103" s="70" t="s">
        <v>8</v>
      </c>
      <c r="G103" s="70" t="s">
        <v>9</v>
      </c>
      <c r="H103" s="74" t="s">
        <v>10</v>
      </c>
      <c r="I103" s="35"/>
    </row>
    <row r="104" spans="1:9" ht="17.25" customHeight="1">
      <c r="A104" s="66"/>
      <c r="B104" s="33" t="s">
        <v>36</v>
      </c>
      <c r="C104" s="15" t="s">
        <v>25</v>
      </c>
      <c r="D104" s="71"/>
      <c r="E104" s="71"/>
      <c r="F104" s="71"/>
      <c r="G104" s="71"/>
      <c r="H104" s="75"/>
      <c r="I104" s="12"/>
    </row>
    <row r="105" spans="1:9" ht="17.25" customHeight="1">
      <c r="A105" s="66"/>
      <c r="B105" s="33" t="s">
        <v>42</v>
      </c>
      <c r="C105" s="17" t="s">
        <v>6</v>
      </c>
      <c r="D105" s="28" t="s">
        <v>93</v>
      </c>
      <c r="E105" s="28" t="s">
        <v>93</v>
      </c>
      <c r="F105" s="28" t="s">
        <v>93</v>
      </c>
      <c r="G105" s="28" t="s">
        <v>93</v>
      </c>
      <c r="H105" s="29" t="s">
        <v>93</v>
      </c>
      <c r="I105" s="36"/>
    </row>
    <row r="106" spans="1:9" ht="17.25" customHeight="1">
      <c r="A106" s="66"/>
      <c r="B106" s="33" t="s">
        <v>43</v>
      </c>
      <c r="C106" s="17" t="s">
        <v>7</v>
      </c>
      <c r="D106" s="28" t="s">
        <v>93</v>
      </c>
      <c r="E106" s="28" t="s">
        <v>93</v>
      </c>
      <c r="F106" s="28" t="s">
        <v>93</v>
      </c>
      <c r="G106" s="28" t="s">
        <v>93</v>
      </c>
      <c r="H106" s="29" t="s">
        <v>93</v>
      </c>
      <c r="I106" s="36"/>
    </row>
    <row r="107" spans="1:9" ht="17.25" customHeight="1">
      <c r="A107" s="66"/>
      <c r="B107" s="33" t="s">
        <v>44</v>
      </c>
      <c r="C107" s="17" t="s">
        <v>8</v>
      </c>
      <c r="D107" s="28" t="s">
        <v>93</v>
      </c>
      <c r="E107" s="28" t="s">
        <v>93</v>
      </c>
      <c r="F107" s="28" t="s">
        <v>93</v>
      </c>
      <c r="G107" s="28" t="s">
        <v>93</v>
      </c>
      <c r="H107" s="29" t="s">
        <v>93</v>
      </c>
      <c r="I107" s="38"/>
    </row>
    <row r="108" spans="1:9" ht="17.25" customHeight="1">
      <c r="A108" s="66"/>
      <c r="B108" s="33"/>
      <c r="C108" s="17" t="s">
        <v>9</v>
      </c>
      <c r="D108" s="28" t="s">
        <v>93</v>
      </c>
      <c r="E108" s="28" t="s">
        <v>93</v>
      </c>
      <c r="F108" s="28" t="s">
        <v>93</v>
      </c>
      <c r="G108" s="28" t="s">
        <v>93</v>
      </c>
      <c r="H108" s="29" t="s">
        <v>93</v>
      </c>
      <c r="I108" s="38"/>
    </row>
    <row r="109" spans="1:9" ht="17.25" customHeight="1" thickBot="1">
      <c r="A109" s="67"/>
      <c r="B109" s="32"/>
      <c r="C109" s="18" t="s">
        <v>10</v>
      </c>
      <c r="D109" s="30" t="s">
        <v>93</v>
      </c>
      <c r="E109" s="30" t="s">
        <v>93</v>
      </c>
      <c r="F109" s="30" t="s">
        <v>93</v>
      </c>
      <c r="G109" s="30" t="s">
        <v>93</v>
      </c>
      <c r="H109" s="31" t="s">
        <v>93</v>
      </c>
      <c r="I109" s="38"/>
    </row>
    <row r="110" spans="1:9" ht="24" customHeight="1" thickTop="1">
      <c r="A110" s="88" t="s">
        <v>83</v>
      </c>
      <c r="B110" s="34" t="s">
        <v>68</v>
      </c>
      <c r="C110" s="14" t="s">
        <v>26</v>
      </c>
      <c r="D110" s="70" t="s">
        <v>6</v>
      </c>
      <c r="E110" s="70" t="s">
        <v>86</v>
      </c>
      <c r="F110" s="70" t="s">
        <v>85</v>
      </c>
      <c r="G110" s="70"/>
      <c r="H110" s="74"/>
      <c r="I110" s="35" t="s">
        <v>136</v>
      </c>
    </row>
    <row r="111" spans="1:9" ht="24" customHeight="1">
      <c r="A111" s="89"/>
      <c r="B111" s="33" t="s">
        <v>69</v>
      </c>
      <c r="C111" s="15" t="s">
        <v>25</v>
      </c>
      <c r="D111" s="71"/>
      <c r="E111" s="71"/>
      <c r="F111" s="71"/>
      <c r="G111" s="71"/>
      <c r="H111" s="75"/>
      <c r="I111" s="36" t="s">
        <v>137</v>
      </c>
    </row>
    <row r="112" spans="1:9" ht="24.75" customHeight="1">
      <c r="A112" s="89"/>
      <c r="B112" s="33" t="s">
        <v>70</v>
      </c>
      <c r="C112" s="17" t="s">
        <v>6</v>
      </c>
      <c r="D112" s="4">
        <v>0</v>
      </c>
      <c r="E112" s="3">
        <f>D112+$B$116/2</f>
        <v>2.5</v>
      </c>
      <c r="F112" s="3">
        <f>E112+$B$116/2</f>
        <v>5</v>
      </c>
      <c r="G112" s="2"/>
      <c r="H112" s="10"/>
      <c r="I112" s="87" t="s">
        <v>138</v>
      </c>
    </row>
    <row r="113" spans="1:9" ht="24.75" customHeight="1">
      <c r="A113" s="89"/>
      <c r="B113" s="33" t="s">
        <v>71</v>
      </c>
      <c r="C113" s="17" t="s">
        <v>86</v>
      </c>
      <c r="D113" s="3">
        <f>D112-$B$116/2</f>
        <v>-2.5</v>
      </c>
      <c r="E113" s="4">
        <f>D112</f>
        <v>0</v>
      </c>
      <c r="F113" s="3">
        <f>F112-$B$116/2</f>
        <v>2.5</v>
      </c>
      <c r="G113" s="2"/>
      <c r="H113" s="5"/>
      <c r="I113" s="86"/>
    </row>
    <row r="114" spans="1:9" ht="25.5" customHeight="1">
      <c r="A114" s="89"/>
      <c r="B114" s="33" t="s">
        <v>72</v>
      </c>
      <c r="C114" s="17" t="s">
        <v>85</v>
      </c>
      <c r="D114" s="3">
        <f>D113-$B$116/2</f>
        <v>-5</v>
      </c>
      <c r="E114" s="3">
        <f>E113-$B$116/2</f>
        <v>-2.5</v>
      </c>
      <c r="F114" s="4">
        <f>D112</f>
        <v>0</v>
      </c>
      <c r="G114" s="2"/>
      <c r="H114" s="5"/>
      <c r="I114" s="41"/>
    </row>
    <row r="115" spans="1:9" ht="25.5" customHeight="1">
      <c r="A115" s="89"/>
      <c r="B115" s="33"/>
      <c r="C115" s="17"/>
      <c r="D115" s="2"/>
      <c r="E115" s="2"/>
      <c r="F115" s="2"/>
      <c r="G115" s="4"/>
      <c r="H115" s="5"/>
      <c r="I115" s="41"/>
    </row>
    <row r="116" spans="1:9" ht="25.5" customHeight="1" thickBot="1">
      <c r="A116" s="89"/>
      <c r="B116" s="13">
        <v>5</v>
      </c>
      <c r="C116" s="18"/>
      <c r="D116" s="11"/>
      <c r="E116" s="6"/>
      <c r="F116" s="6"/>
      <c r="G116" s="6"/>
      <c r="H116" s="7"/>
      <c r="I116" s="38"/>
    </row>
    <row r="117" spans="1:9" ht="17.25" customHeight="1">
      <c r="A117" s="89"/>
      <c r="B117" s="34" t="s">
        <v>73</v>
      </c>
      <c r="C117" s="14" t="s">
        <v>26</v>
      </c>
      <c r="D117" s="70" t="s">
        <v>6</v>
      </c>
      <c r="E117" s="70" t="s">
        <v>7</v>
      </c>
      <c r="F117" s="70" t="s">
        <v>8</v>
      </c>
      <c r="G117" s="70" t="s">
        <v>9</v>
      </c>
      <c r="H117" s="74" t="s">
        <v>10</v>
      </c>
      <c r="I117" s="35"/>
    </row>
    <row r="118" spans="1:9" ht="17.25" customHeight="1">
      <c r="A118" s="89"/>
      <c r="B118" s="33" t="s">
        <v>74</v>
      </c>
      <c r="C118" s="15" t="s">
        <v>25</v>
      </c>
      <c r="D118" s="71"/>
      <c r="E118" s="71"/>
      <c r="F118" s="71"/>
      <c r="G118" s="71"/>
      <c r="H118" s="75"/>
      <c r="I118" s="36"/>
    </row>
    <row r="119" spans="1:9" ht="18" customHeight="1">
      <c r="A119" s="89"/>
      <c r="B119" s="33" t="s">
        <v>75</v>
      </c>
      <c r="C119" s="17" t="s">
        <v>6</v>
      </c>
      <c r="D119" s="28" t="s">
        <v>93</v>
      </c>
      <c r="E119" s="28" t="s">
        <v>93</v>
      </c>
      <c r="F119" s="28" t="s">
        <v>93</v>
      </c>
      <c r="G119" s="28" t="s">
        <v>93</v>
      </c>
      <c r="H119" s="29" t="s">
        <v>93</v>
      </c>
      <c r="I119" s="36"/>
    </row>
    <row r="120" spans="1:9" ht="18" customHeight="1">
      <c r="A120" s="89"/>
      <c r="B120" s="33"/>
      <c r="C120" s="17" t="s">
        <v>7</v>
      </c>
      <c r="D120" s="28" t="s">
        <v>93</v>
      </c>
      <c r="E120" s="28" t="s">
        <v>93</v>
      </c>
      <c r="F120" s="28" t="s">
        <v>93</v>
      </c>
      <c r="G120" s="28" t="s">
        <v>93</v>
      </c>
      <c r="H120" s="29" t="s">
        <v>93</v>
      </c>
      <c r="I120" s="36"/>
    </row>
    <row r="121" spans="1:9" ht="18" customHeight="1">
      <c r="A121" s="89"/>
      <c r="B121" s="33"/>
      <c r="C121" s="17" t="s">
        <v>8</v>
      </c>
      <c r="D121" s="28" t="s">
        <v>93</v>
      </c>
      <c r="E121" s="28" t="s">
        <v>93</v>
      </c>
      <c r="F121" s="28" t="s">
        <v>93</v>
      </c>
      <c r="G121" s="28" t="s">
        <v>93</v>
      </c>
      <c r="H121" s="29" t="s">
        <v>93</v>
      </c>
      <c r="I121" s="36"/>
    </row>
    <row r="122" spans="1:9" ht="18" customHeight="1">
      <c r="A122" s="89"/>
      <c r="B122" s="33"/>
      <c r="C122" s="17" t="s">
        <v>9</v>
      </c>
      <c r="D122" s="28" t="s">
        <v>93</v>
      </c>
      <c r="E122" s="28" t="s">
        <v>93</v>
      </c>
      <c r="F122" s="28" t="s">
        <v>93</v>
      </c>
      <c r="G122" s="28" t="s">
        <v>93</v>
      </c>
      <c r="H122" s="29" t="s">
        <v>93</v>
      </c>
      <c r="I122" s="36"/>
    </row>
    <row r="123" spans="1:9" ht="18" customHeight="1" thickBot="1">
      <c r="A123" s="89"/>
      <c r="B123" s="32"/>
      <c r="C123" s="18" t="s">
        <v>10</v>
      </c>
      <c r="D123" s="30" t="s">
        <v>93</v>
      </c>
      <c r="E123" s="30" t="s">
        <v>93</v>
      </c>
      <c r="F123" s="30" t="s">
        <v>93</v>
      </c>
      <c r="G123" s="30" t="s">
        <v>93</v>
      </c>
      <c r="H123" s="31" t="s">
        <v>93</v>
      </c>
      <c r="I123" s="39"/>
    </row>
    <row r="124" spans="1:9" ht="17.25" customHeight="1">
      <c r="A124" s="66" t="s">
        <v>18</v>
      </c>
      <c r="B124" s="34" t="s">
        <v>76</v>
      </c>
      <c r="C124" s="14" t="s">
        <v>26</v>
      </c>
      <c r="D124" s="70" t="s">
        <v>82</v>
      </c>
      <c r="E124" s="70" t="s">
        <v>7</v>
      </c>
      <c r="F124" s="70" t="s">
        <v>8</v>
      </c>
      <c r="G124" s="70" t="s">
        <v>9</v>
      </c>
      <c r="H124" s="74" t="s">
        <v>10</v>
      </c>
      <c r="I124" s="35"/>
    </row>
    <row r="125" spans="1:9" ht="17.25" customHeight="1">
      <c r="A125" s="89"/>
      <c r="B125" s="33" t="s">
        <v>77</v>
      </c>
      <c r="C125" s="15" t="s">
        <v>25</v>
      </c>
      <c r="D125" s="71"/>
      <c r="E125" s="71"/>
      <c r="F125" s="71"/>
      <c r="G125" s="71"/>
      <c r="H125" s="75"/>
      <c r="I125" s="36"/>
    </row>
    <row r="126" spans="1:9" ht="17.25" customHeight="1">
      <c r="A126" s="89"/>
      <c r="B126" s="33" t="s">
        <v>75</v>
      </c>
      <c r="C126" s="17" t="s">
        <v>6</v>
      </c>
      <c r="D126" s="28" t="s">
        <v>93</v>
      </c>
      <c r="E126" s="28" t="s">
        <v>93</v>
      </c>
      <c r="F126" s="28" t="s">
        <v>93</v>
      </c>
      <c r="G126" s="28" t="s">
        <v>93</v>
      </c>
      <c r="H126" s="29" t="s">
        <v>93</v>
      </c>
      <c r="I126" s="36"/>
    </row>
    <row r="127" spans="1:9" ht="17.25" customHeight="1">
      <c r="A127" s="89"/>
      <c r="B127" s="33"/>
      <c r="C127" s="17" t="s">
        <v>7</v>
      </c>
      <c r="D127" s="28" t="s">
        <v>93</v>
      </c>
      <c r="E127" s="28" t="s">
        <v>93</v>
      </c>
      <c r="F127" s="28" t="s">
        <v>93</v>
      </c>
      <c r="G127" s="28" t="s">
        <v>93</v>
      </c>
      <c r="H127" s="29" t="s">
        <v>93</v>
      </c>
      <c r="I127" s="36"/>
    </row>
    <row r="128" spans="1:9" ht="17.25" customHeight="1">
      <c r="A128" s="89"/>
      <c r="B128" s="33"/>
      <c r="C128" s="17" t="s">
        <v>8</v>
      </c>
      <c r="D128" s="28" t="s">
        <v>93</v>
      </c>
      <c r="E128" s="28" t="s">
        <v>93</v>
      </c>
      <c r="F128" s="28" t="s">
        <v>93</v>
      </c>
      <c r="G128" s="28" t="s">
        <v>93</v>
      </c>
      <c r="H128" s="29" t="s">
        <v>93</v>
      </c>
      <c r="I128" s="36"/>
    </row>
    <row r="129" spans="1:9" ht="17.25" customHeight="1">
      <c r="A129" s="89"/>
      <c r="B129" s="33"/>
      <c r="C129" s="17" t="s">
        <v>9</v>
      </c>
      <c r="D129" s="28" t="s">
        <v>93</v>
      </c>
      <c r="E129" s="28" t="s">
        <v>93</v>
      </c>
      <c r="F129" s="28" t="s">
        <v>93</v>
      </c>
      <c r="G129" s="28" t="s">
        <v>93</v>
      </c>
      <c r="H129" s="29" t="s">
        <v>93</v>
      </c>
      <c r="I129" s="44"/>
    </row>
    <row r="130" spans="1:9" ht="17.25" customHeight="1" thickBot="1">
      <c r="A130" s="89"/>
      <c r="B130" s="32"/>
      <c r="C130" s="18" t="s">
        <v>10</v>
      </c>
      <c r="D130" s="30" t="s">
        <v>93</v>
      </c>
      <c r="E130" s="30" t="s">
        <v>93</v>
      </c>
      <c r="F130" s="30" t="s">
        <v>93</v>
      </c>
      <c r="G130" s="30" t="s">
        <v>93</v>
      </c>
      <c r="H130" s="31" t="s">
        <v>93</v>
      </c>
      <c r="I130" s="38"/>
    </row>
    <row r="131" spans="1:9" ht="17.25" customHeight="1">
      <c r="A131" s="89"/>
      <c r="B131" s="34" t="s">
        <v>78</v>
      </c>
      <c r="C131" s="14" t="s">
        <v>26</v>
      </c>
      <c r="D131" s="70" t="s">
        <v>6</v>
      </c>
      <c r="E131" s="70" t="s">
        <v>7</v>
      </c>
      <c r="F131" s="70" t="s">
        <v>8</v>
      </c>
      <c r="G131" s="70" t="s">
        <v>9</v>
      </c>
      <c r="H131" s="74" t="s">
        <v>10</v>
      </c>
      <c r="I131" s="35"/>
    </row>
    <row r="132" spans="1:9" ht="17.25" customHeight="1">
      <c r="A132" s="89"/>
      <c r="B132" s="33" t="s">
        <v>79</v>
      </c>
      <c r="C132" s="15" t="s">
        <v>25</v>
      </c>
      <c r="D132" s="71"/>
      <c r="E132" s="71"/>
      <c r="F132" s="71"/>
      <c r="G132" s="71"/>
      <c r="H132" s="75"/>
      <c r="I132" s="36"/>
    </row>
    <row r="133" spans="1:9" ht="17.25" customHeight="1">
      <c r="A133" s="89"/>
      <c r="B133" s="33" t="s">
        <v>80</v>
      </c>
      <c r="C133" s="17" t="s">
        <v>6</v>
      </c>
      <c r="D133" s="28" t="s">
        <v>93</v>
      </c>
      <c r="E133" s="28" t="s">
        <v>93</v>
      </c>
      <c r="F133" s="28" t="s">
        <v>93</v>
      </c>
      <c r="G133" s="28" t="s">
        <v>93</v>
      </c>
      <c r="H133" s="29" t="s">
        <v>93</v>
      </c>
      <c r="I133" s="36"/>
    </row>
    <row r="134" spans="1:9" ht="17.25" customHeight="1">
      <c r="A134" s="89"/>
      <c r="B134" s="33" t="s">
        <v>81</v>
      </c>
      <c r="C134" s="17" t="s">
        <v>7</v>
      </c>
      <c r="D134" s="28" t="s">
        <v>93</v>
      </c>
      <c r="E134" s="28" t="s">
        <v>93</v>
      </c>
      <c r="F134" s="28" t="s">
        <v>93</v>
      </c>
      <c r="G134" s="28" t="s">
        <v>93</v>
      </c>
      <c r="H134" s="29" t="s">
        <v>93</v>
      </c>
      <c r="I134" s="36"/>
    </row>
    <row r="135" spans="1:9" ht="17.25" customHeight="1">
      <c r="A135" s="89"/>
      <c r="B135" s="33" t="s">
        <v>73</v>
      </c>
      <c r="C135" s="17" t="s">
        <v>8</v>
      </c>
      <c r="D135" s="28" t="s">
        <v>93</v>
      </c>
      <c r="E135" s="28" t="s">
        <v>93</v>
      </c>
      <c r="F135" s="28" t="s">
        <v>93</v>
      </c>
      <c r="G135" s="28" t="s">
        <v>93</v>
      </c>
      <c r="H135" s="29" t="s">
        <v>93</v>
      </c>
      <c r="I135" s="36"/>
    </row>
    <row r="136" spans="1:9" ht="17.25" customHeight="1">
      <c r="A136" s="89"/>
      <c r="B136" s="33"/>
      <c r="C136" s="17" t="s">
        <v>9</v>
      </c>
      <c r="D136" s="28" t="s">
        <v>93</v>
      </c>
      <c r="E136" s="28" t="s">
        <v>93</v>
      </c>
      <c r="F136" s="28" t="s">
        <v>93</v>
      </c>
      <c r="G136" s="28" t="s">
        <v>93</v>
      </c>
      <c r="H136" s="29" t="s">
        <v>93</v>
      </c>
      <c r="I136" s="38"/>
    </row>
    <row r="137" spans="1:9" ht="17.25" customHeight="1" thickBot="1">
      <c r="A137" s="90"/>
      <c r="B137" s="32"/>
      <c r="C137" s="18" t="s">
        <v>10</v>
      </c>
      <c r="D137" s="30" t="s">
        <v>93</v>
      </c>
      <c r="E137" s="30" t="s">
        <v>93</v>
      </c>
      <c r="F137" s="30" t="s">
        <v>93</v>
      </c>
      <c r="G137" s="30" t="s">
        <v>93</v>
      </c>
      <c r="H137" s="31" t="s">
        <v>93</v>
      </c>
      <c r="I137" s="39"/>
    </row>
    <row r="138" spans="1:9" ht="17.25" customHeight="1" thickTop="1">
      <c r="A138" s="88" t="s">
        <v>19</v>
      </c>
      <c r="B138" s="34"/>
      <c r="C138" s="14" t="s">
        <v>26</v>
      </c>
      <c r="D138" s="70" t="s">
        <v>6</v>
      </c>
      <c r="E138" s="70" t="s">
        <v>7</v>
      </c>
      <c r="F138" s="70" t="s">
        <v>8</v>
      </c>
      <c r="G138" s="70" t="s">
        <v>9</v>
      </c>
      <c r="H138" s="74" t="s">
        <v>10</v>
      </c>
      <c r="I138" s="93" t="s">
        <v>20</v>
      </c>
    </row>
    <row r="139" spans="1:9" ht="17.25" customHeight="1">
      <c r="A139" s="66"/>
      <c r="B139" s="33"/>
      <c r="C139" s="15" t="s">
        <v>25</v>
      </c>
      <c r="D139" s="71"/>
      <c r="E139" s="71"/>
      <c r="F139" s="71"/>
      <c r="G139" s="71"/>
      <c r="H139" s="75"/>
      <c r="I139" s="94"/>
    </row>
    <row r="140" spans="1:9" ht="17.25" customHeight="1">
      <c r="A140" s="66"/>
      <c r="B140" s="33"/>
      <c r="C140" s="17" t="s">
        <v>6</v>
      </c>
      <c r="D140" s="3">
        <v>0</v>
      </c>
      <c r="E140" s="3">
        <f>D140+$B$144/4</f>
        <v>7.5</v>
      </c>
      <c r="F140" s="3">
        <f>E140+$B$144/4</f>
        <v>15</v>
      </c>
      <c r="G140" s="3">
        <f>F140+$B$144/4</f>
        <v>22.5</v>
      </c>
      <c r="H140" s="8">
        <f>G140+$B$144/4</f>
        <v>30</v>
      </c>
      <c r="I140" s="94"/>
    </row>
    <row r="141" spans="1:9" ht="17.25" customHeight="1">
      <c r="A141" s="66"/>
      <c r="B141" s="33"/>
      <c r="C141" s="17" t="s">
        <v>7</v>
      </c>
      <c r="D141" s="3">
        <f>D140-$B$144/4</f>
        <v>-7.5</v>
      </c>
      <c r="E141" s="3">
        <f>D140</f>
        <v>0</v>
      </c>
      <c r="F141" s="3">
        <f>F140-$B$144/4</f>
        <v>7.5</v>
      </c>
      <c r="G141" s="3">
        <f>G140-$B$144/4</f>
        <v>15</v>
      </c>
      <c r="H141" s="8">
        <f>G141+$B$144/4</f>
        <v>22.5</v>
      </c>
      <c r="I141" s="94"/>
    </row>
    <row r="142" spans="1:9" ht="17.25" customHeight="1">
      <c r="A142" s="66"/>
      <c r="B142" s="33"/>
      <c r="C142" s="17" t="s">
        <v>8</v>
      </c>
      <c r="D142" s="3">
        <f>D141-$B$144/4</f>
        <v>-15</v>
      </c>
      <c r="E142" s="3">
        <f>E141-$B$144/4</f>
        <v>-7.5</v>
      </c>
      <c r="F142" s="3">
        <f>D140</f>
        <v>0</v>
      </c>
      <c r="G142" s="3">
        <f>G141-$B$144/4</f>
        <v>7.5</v>
      </c>
      <c r="H142" s="8">
        <f>G142+$B$144/4</f>
        <v>15</v>
      </c>
      <c r="I142" s="94"/>
    </row>
    <row r="143" spans="1:9" ht="17.25" customHeight="1">
      <c r="A143" s="66"/>
      <c r="B143" s="33"/>
      <c r="C143" s="17" t="s">
        <v>9</v>
      </c>
      <c r="D143" s="3">
        <f>D142-$B$144/4</f>
        <v>-22.5</v>
      </c>
      <c r="E143" s="3">
        <f>E142-$B$144/4</f>
        <v>-15</v>
      </c>
      <c r="F143" s="3">
        <f>F142-$B$144/4</f>
        <v>-7.5</v>
      </c>
      <c r="G143" s="3">
        <f>D140</f>
        <v>0</v>
      </c>
      <c r="H143" s="8">
        <f>G143+$B$144/4</f>
        <v>7.5</v>
      </c>
      <c r="I143" s="94"/>
    </row>
    <row r="144" spans="1:9" ht="17.25" customHeight="1" thickBot="1">
      <c r="A144" s="82"/>
      <c r="B144" s="53">
        <v>30</v>
      </c>
      <c r="C144" s="18" t="s">
        <v>10</v>
      </c>
      <c r="D144" s="9">
        <f>D143-$B$144/4</f>
        <v>-30</v>
      </c>
      <c r="E144" s="9">
        <f>E143-$B$144/4</f>
        <v>-22.5</v>
      </c>
      <c r="F144" s="9">
        <f>F143-$B$144/4</f>
        <v>-15</v>
      </c>
      <c r="G144" s="9">
        <f>G143-$B$144/4</f>
        <v>-7.5</v>
      </c>
      <c r="H144" s="46">
        <f>D140</f>
        <v>0</v>
      </c>
      <c r="I144" s="95"/>
    </row>
    <row r="145" spans="1:9">
      <c r="A145" s="45" t="s">
        <v>139</v>
      </c>
    </row>
    <row r="146" spans="1:9" s="42" customFormat="1">
      <c r="A146" s="91" t="s">
        <v>140</v>
      </c>
      <c r="B146" s="92"/>
      <c r="C146" s="92"/>
      <c r="D146" s="92"/>
      <c r="E146" s="92"/>
      <c r="F146" s="92"/>
      <c r="G146" s="92"/>
      <c r="H146" s="92"/>
      <c r="I146" s="92"/>
    </row>
    <row r="147" spans="1:9" s="42" customFormat="1" ht="33" customHeight="1">
      <c r="A147" s="91" t="s">
        <v>106</v>
      </c>
      <c r="B147" s="92"/>
      <c r="C147" s="92"/>
      <c r="D147" s="92"/>
      <c r="E147" s="92"/>
      <c r="F147" s="92"/>
      <c r="G147" s="92"/>
      <c r="H147" s="92"/>
      <c r="I147" s="92"/>
    </row>
    <row r="148" spans="1:9" s="42" customFormat="1" ht="16.5" customHeight="1">
      <c r="A148" s="91" t="s">
        <v>105</v>
      </c>
      <c r="B148" s="92"/>
      <c r="C148" s="92"/>
      <c r="D148" s="92"/>
      <c r="E148" s="92"/>
      <c r="F148" s="92"/>
      <c r="G148" s="92"/>
      <c r="H148" s="92"/>
      <c r="I148" s="92"/>
    </row>
    <row r="149" spans="1:9" s="42" customFormat="1" ht="52.5" customHeight="1">
      <c r="A149" s="91" t="s">
        <v>21</v>
      </c>
      <c r="B149" s="92"/>
      <c r="C149" s="92"/>
      <c r="D149" s="92"/>
      <c r="E149" s="92"/>
      <c r="F149" s="92"/>
      <c r="G149" s="92"/>
      <c r="H149" s="92"/>
      <c r="I149" s="92"/>
    </row>
    <row r="150" spans="1:9" s="42" customFormat="1">
      <c r="A150" s="91" t="s">
        <v>22</v>
      </c>
      <c r="B150" s="92"/>
      <c r="C150" s="92"/>
      <c r="D150" s="92"/>
      <c r="E150" s="92"/>
      <c r="F150" s="92"/>
      <c r="G150" s="92"/>
      <c r="H150" s="92"/>
      <c r="I150" s="92"/>
    </row>
    <row r="151" spans="1:9" s="42" customFormat="1">
      <c r="A151" s="91" t="s">
        <v>23</v>
      </c>
      <c r="B151" s="92"/>
      <c r="C151" s="92"/>
      <c r="D151" s="92"/>
      <c r="E151" s="92"/>
      <c r="F151" s="92"/>
      <c r="G151" s="92"/>
      <c r="H151" s="92"/>
      <c r="I151" s="92"/>
    </row>
    <row r="152" spans="1:9" s="42" customFormat="1" ht="15.75" customHeight="1">
      <c r="A152" s="91" t="s">
        <v>24</v>
      </c>
      <c r="B152" s="92"/>
      <c r="C152" s="92"/>
      <c r="D152" s="92"/>
      <c r="E152" s="92"/>
      <c r="F152" s="92"/>
      <c r="G152" s="92"/>
      <c r="H152" s="92"/>
      <c r="I152" s="92"/>
    </row>
    <row r="153" spans="1:9" s="42" customFormat="1" ht="49.5" customHeight="1">
      <c r="A153" s="91" t="s">
        <v>90</v>
      </c>
      <c r="B153" s="92"/>
      <c r="C153" s="92"/>
      <c r="D153" s="92"/>
      <c r="E153" s="92"/>
      <c r="F153" s="92"/>
      <c r="G153" s="92"/>
      <c r="H153" s="92"/>
      <c r="I153" s="92"/>
    </row>
  </sheetData>
  <mergeCells count="127">
    <mergeCell ref="A151:I151"/>
    <mergeCell ref="A152:I152"/>
    <mergeCell ref="A153:I153"/>
    <mergeCell ref="I138:I144"/>
    <mergeCell ref="A146:I146"/>
    <mergeCell ref="A147:I147"/>
    <mergeCell ref="A148:I148"/>
    <mergeCell ref="A149:I149"/>
    <mergeCell ref="A150:I150"/>
    <mergeCell ref="H131:H132"/>
    <mergeCell ref="A138:A144"/>
    <mergeCell ref="D138:D139"/>
    <mergeCell ref="E138:E139"/>
    <mergeCell ref="F138:F139"/>
    <mergeCell ref="G138:G139"/>
    <mergeCell ref="H138:H139"/>
    <mergeCell ref="A124:A137"/>
    <mergeCell ref="D124:D125"/>
    <mergeCell ref="E124:E125"/>
    <mergeCell ref="F124:F125"/>
    <mergeCell ref="G124:G125"/>
    <mergeCell ref="H124:H125"/>
    <mergeCell ref="D131:D132"/>
    <mergeCell ref="E131:E132"/>
    <mergeCell ref="F131:F132"/>
    <mergeCell ref="G131:G132"/>
    <mergeCell ref="I112:I113"/>
    <mergeCell ref="D117:D118"/>
    <mergeCell ref="E117:E118"/>
    <mergeCell ref="F117:F118"/>
    <mergeCell ref="G117:G118"/>
    <mergeCell ref="H117:H118"/>
    <mergeCell ref="H103:H104"/>
    <mergeCell ref="A110:A123"/>
    <mergeCell ref="D110:D111"/>
    <mergeCell ref="E110:E111"/>
    <mergeCell ref="F110:F111"/>
    <mergeCell ref="G110:G111"/>
    <mergeCell ref="H110:H111"/>
    <mergeCell ref="A96:A109"/>
    <mergeCell ref="D96:D97"/>
    <mergeCell ref="E96:E97"/>
    <mergeCell ref="F96:F97"/>
    <mergeCell ref="G96:G97"/>
    <mergeCell ref="H96:H97"/>
    <mergeCell ref="D103:D104"/>
    <mergeCell ref="E103:E104"/>
    <mergeCell ref="F103:F104"/>
    <mergeCell ref="G103:G104"/>
    <mergeCell ref="A89:A95"/>
    <mergeCell ref="D89:D90"/>
    <mergeCell ref="E89:E90"/>
    <mergeCell ref="F89:F90"/>
    <mergeCell ref="G89:G90"/>
    <mergeCell ref="H89:H90"/>
    <mergeCell ref="I75:I76"/>
    <mergeCell ref="D82:D83"/>
    <mergeCell ref="E82:E83"/>
    <mergeCell ref="F82:F83"/>
    <mergeCell ref="G82:G83"/>
    <mergeCell ref="H82:H83"/>
    <mergeCell ref="I82:I83"/>
    <mergeCell ref="H40:H41"/>
    <mergeCell ref="H68:H69"/>
    <mergeCell ref="D75:D76"/>
    <mergeCell ref="E75:E76"/>
    <mergeCell ref="F75:F76"/>
    <mergeCell ref="G75:G76"/>
    <mergeCell ref="H75:H76"/>
    <mergeCell ref="A61:A88"/>
    <mergeCell ref="D61:D62"/>
    <mergeCell ref="E61:E62"/>
    <mergeCell ref="F61:F62"/>
    <mergeCell ref="G61:G62"/>
    <mergeCell ref="H61:H62"/>
    <mergeCell ref="D68:D69"/>
    <mergeCell ref="E68:E69"/>
    <mergeCell ref="F68:F69"/>
    <mergeCell ref="G68:G69"/>
    <mergeCell ref="F26:F27"/>
    <mergeCell ref="G26:G27"/>
    <mergeCell ref="H26:H27"/>
    <mergeCell ref="A47:A60"/>
    <mergeCell ref="D47:D48"/>
    <mergeCell ref="E47:E48"/>
    <mergeCell ref="F47:F48"/>
    <mergeCell ref="G47:G48"/>
    <mergeCell ref="I26:I28"/>
    <mergeCell ref="D33:D34"/>
    <mergeCell ref="E33:E34"/>
    <mergeCell ref="F33:F34"/>
    <mergeCell ref="G33:G34"/>
    <mergeCell ref="H33:H34"/>
    <mergeCell ref="H47:H48"/>
    <mergeCell ref="D54:D55"/>
    <mergeCell ref="E54:E55"/>
    <mergeCell ref="F54:F55"/>
    <mergeCell ref="G54:G55"/>
    <mergeCell ref="H54:H55"/>
    <mergeCell ref="D40:D41"/>
    <mergeCell ref="E40:E41"/>
    <mergeCell ref="F40:F41"/>
    <mergeCell ref="G40:G41"/>
    <mergeCell ref="A1:I1"/>
    <mergeCell ref="I3:I4"/>
    <mergeCell ref="C4:H4"/>
    <mergeCell ref="A5:A46"/>
    <mergeCell ref="D5:D6"/>
    <mergeCell ref="E5:E6"/>
    <mergeCell ref="F5:F6"/>
    <mergeCell ref="G5:G6"/>
    <mergeCell ref="H5:H6"/>
    <mergeCell ref="D12:D13"/>
    <mergeCell ref="E12:E13"/>
    <mergeCell ref="F12:F13"/>
    <mergeCell ref="G12:G13"/>
    <mergeCell ref="H12:H13"/>
    <mergeCell ref="A3:A4"/>
    <mergeCell ref="B3:B4"/>
    <mergeCell ref="C3:H3"/>
    <mergeCell ref="D19:D20"/>
    <mergeCell ref="E19:E20"/>
    <mergeCell ref="F19:F20"/>
    <mergeCell ref="G19:G20"/>
    <mergeCell ref="H19:H20"/>
    <mergeCell ref="D26:D27"/>
    <mergeCell ref="E26:E27"/>
  </mergeCells>
  <phoneticPr fontId="4" type="noConversion"/>
  <printOptions horizontalCentered="1"/>
  <pageMargins left="0.6692913385826772" right="0.47244094488188981" top="1.0236220472440944" bottom="0.55118110236220474" header="0.51181102362204722" footer="0.31496062992125984"/>
  <pageSetup paperSize="9" scale="94" orientation="portrait" r:id="rId1"/>
  <headerFooter alignWithMargins="0">
    <oddFooter>第 &amp;P 頁，共 &amp;N 頁</oddFooter>
  </headerFooter>
  <rowBreaks count="3" manualBreakCount="3">
    <brk id="46" max="16383" man="1"/>
    <brk id="88" max="16383" man="1"/>
    <brk id="1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農業用地</vt:lpstr>
      <vt:lpstr>農業用地!_Hlk320279254</vt:lpstr>
      <vt:lpstr>農業用地!OLE_LINK4</vt:lpstr>
      <vt:lpstr>農業用地!OLE_LINK5</vt:lpstr>
      <vt:lpstr>農業用地!Print_Titles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2015-06-08T07:33:19Z</cp:lastPrinted>
  <dcterms:created xsi:type="dcterms:W3CDTF">2012-07-25T05:45:35Z</dcterms:created>
  <dcterms:modified xsi:type="dcterms:W3CDTF">2015-06-08T07:33:44Z</dcterms:modified>
</cp:coreProperties>
</file>